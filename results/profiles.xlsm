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0" codeName="{B1BEFC71-4687-E4F5-767E-874F2C426654}"/>
  <workbookPr codeName="ThisWorkbook"/>
  <mc:AlternateContent xmlns:mc="http://schemas.openxmlformats.org/markup-compatibility/2006">
    <mc:Choice Requires="x15">
      <x15ac:absPath xmlns:x15ac="http://schemas.microsoft.com/office/spreadsheetml/2010/11/ac" url="/Users/jongodin/GA/Projects/capstone/results/"/>
    </mc:Choice>
  </mc:AlternateContent>
  <xr:revisionPtr revIDLastSave="0" documentId="13_ncr:1_{5088D1AC-2A7B-FB47-8A2E-37C7C9CCD407}" xr6:coauthVersionLast="45" xr6:coauthVersionMax="45" xr10:uidLastSave="{00000000-0000-0000-0000-000000000000}"/>
  <bookViews>
    <workbookView xWindow="11960" yWindow="460" windowWidth="23880" windowHeight="20720" activeTab="1" xr2:uid="{00000000-000D-0000-FFFF-FFFF00000000}"/>
  </bookViews>
  <sheets>
    <sheet name="kproto_6" sheetId="1" r:id="rId1"/>
    <sheet name="kproto_8" sheetId="3"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118" i="3" l="1"/>
  <c r="S118" i="3"/>
  <c r="R118" i="3"/>
  <c r="Q118" i="3"/>
  <c r="P118" i="3"/>
  <c r="O118" i="3"/>
  <c r="N118" i="3"/>
  <c r="M118" i="3"/>
  <c r="T117" i="3"/>
  <c r="S117" i="3"/>
  <c r="R117" i="3"/>
  <c r="Q117" i="3"/>
  <c r="P117" i="3"/>
  <c r="O117" i="3"/>
  <c r="N117" i="3"/>
  <c r="M117" i="3"/>
  <c r="T116" i="3"/>
  <c r="S116" i="3"/>
  <c r="R116" i="3"/>
  <c r="Q116" i="3"/>
  <c r="P116" i="3"/>
  <c r="O116" i="3"/>
  <c r="N116" i="3"/>
  <c r="M116" i="3"/>
  <c r="T115" i="3"/>
  <c r="S115" i="3"/>
  <c r="R115" i="3"/>
  <c r="Q115" i="3"/>
  <c r="P115" i="3"/>
  <c r="O115" i="3"/>
  <c r="N115" i="3"/>
  <c r="M115" i="3"/>
  <c r="T114" i="3"/>
  <c r="S114" i="3"/>
  <c r="R114" i="3"/>
  <c r="Q114" i="3"/>
  <c r="P114" i="3"/>
  <c r="O114" i="3"/>
  <c r="N114" i="3"/>
  <c r="M114" i="3"/>
  <c r="T113" i="3"/>
  <c r="S113" i="3"/>
  <c r="R113" i="3"/>
  <c r="Q113" i="3"/>
  <c r="P113" i="3"/>
  <c r="O113" i="3"/>
  <c r="N113" i="3"/>
  <c r="M113" i="3"/>
  <c r="T112" i="3"/>
  <c r="S112" i="3"/>
  <c r="R112" i="3"/>
  <c r="Q112" i="3"/>
  <c r="P112" i="3"/>
  <c r="O112" i="3"/>
  <c r="N112" i="3"/>
  <c r="M112" i="3"/>
  <c r="T111" i="3"/>
  <c r="S111" i="3"/>
  <c r="R111" i="3"/>
  <c r="Q111" i="3"/>
  <c r="P111" i="3"/>
  <c r="O111" i="3"/>
  <c r="N111" i="3"/>
  <c r="M111" i="3"/>
  <c r="T110" i="3"/>
  <c r="S110" i="3"/>
  <c r="R110" i="3"/>
  <c r="Q110" i="3"/>
  <c r="P110" i="3"/>
  <c r="O110" i="3"/>
  <c r="N110" i="3"/>
  <c r="M110" i="3"/>
  <c r="T109" i="3"/>
  <c r="S109" i="3"/>
  <c r="R109" i="3"/>
  <c r="Q109" i="3"/>
  <c r="P109" i="3"/>
  <c r="O109" i="3"/>
  <c r="N109" i="3"/>
  <c r="M109" i="3"/>
  <c r="T108" i="3"/>
  <c r="S108" i="3"/>
  <c r="R108" i="3"/>
  <c r="Q108" i="3"/>
  <c r="P108" i="3"/>
  <c r="O108" i="3"/>
  <c r="N108" i="3"/>
  <c r="M108" i="3"/>
  <c r="T107" i="3"/>
  <c r="S107" i="3"/>
  <c r="R107" i="3"/>
  <c r="Q107" i="3"/>
  <c r="P107" i="3"/>
  <c r="O107" i="3"/>
  <c r="N107" i="3"/>
  <c r="M107" i="3"/>
  <c r="T106" i="3"/>
  <c r="S106" i="3"/>
  <c r="R106" i="3"/>
  <c r="Q106" i="3"/>
  <c r="P106" i="3"/>
  <c r="O106" i="3"/>
  <c r="N106" i="3"/>
  <c r="M106" i="3"/>
  <c r="T105" i="3"/>
  <c r="S105" i="3"/>
  <c r="R105" i="3"/>
  <c r="Q105" i="3"/>
  <c r="P105" i="3"/>
  <c r="O105" i="3"/>
  <c r="N105" i="3"/>
  <c r="M105" i="3"/>
  <c r="T104" i="3"/>
  <c r="S104" i="3"/>
  <c r="R104" i="3"/>
  <c r="Q104" i="3"/>
  <c r="P104" i="3"/>
  <c r="O104" i="3"/>
  <c r="N104" i="3"/>
  <c r="M104" i="3"/>
  <c r="T103" i="3"/>
  <c r="S103" i="3"/>
  <c r="R103" i="3"/>
  <c r="Q103" i="3"/>
  <c r="P103" i="3"/>
  <c r="O103" i="3"/>
  <c r="N103" i="3"/>
  <c r="M103" i="3"/>
  <c r="T102" i="3"/>
  <c r="S102" i="3"/>
  <c r="R102" i="3"/>
  <c r="Q102" i="3"/>
  <c r="P102" i="3"/>
  <c r="O102" i="3"/>
  <c r="N102" i="3"/>
  <c r="M102" i="3"/>
  <c r="T101" i="3"/>
  <c r="S101" i="3"/>
  <c r="R101" i="3"/>
  <c r="Q101" i="3"/>
  <c r="P101" i="3"/>
  <c r="O101" i="3"/>
  <c r="N101" i="3"/>
  <c r="M101" i="3"/>
  <c r="T100" i="3"/>
  <c r="S100" i="3"/>
  <c r="R100" i="3"/>
  <c r="Q100" i="3"/>
  <c r="P100" i="3"/>
  <c r="O100" i="3"/>
  <c r="N100" i="3"/>
  <c r="M100" i="3"/>
  <c r="T99" i="3"/>
  <c r="S99" i="3"/>
  <c r="R99" i="3"/>
  <c r="Q99" i="3"/>
  <c r="P99" i="3"/>
  <c r="O99" i="3"/>
  <c r="N99" i="3"/>
  <c r="M99" i="3"/>
  <c r="T98" i="3"/>
  <c r="S98" i="3"/>
  <c r="R98" i="3"/>
  <c r="Q98" i="3"/>
  <c r="P98" i="3"/>
  <c r="O98" i="3"/>
  <c r="N98" i="3"/>
  <c r="M98" i="3"/>
  <c r="T97" i="3"/>
  <c r="S97" i="3"/>
  <c r="R97" i="3"/>
  <c r="Q97" i="3"/>
  <c r="P97" i="3"/>
  <c r="O97" i="3"/>
  <c r="N97" i="3"/>
  <c r="M97" i="3"/>
  <c r="T96" i="3"/>
  <c r="S96" i="3"/>
  <c r="R96" i="3"/>
  <c r="Q96" i="3"/>
  <c r="P96" i="3"/>
  <c r="O96" i="3"/>
  <c r="N96" i="3"/>
  <c r="M96" i="3"/>
  <c r="T95" i="3"/>
  <c r="S95" i="3"/>
  <c r="R95" i="3"/>
  <c r="Q95" i="3"/>
  <c r="P95" i="3"/>
  <c r="O95" i="3"/>
  <c r="N95" i="3"/>
  <c r="M95" i="3"/>
  <c r="T94" i="3"/>
  <c r="S94" i="3"/>
  <c r="R94" i="3"/>
  <c r="Q94" i="3"/>
  <c r="P94" i="3"/>
  <c r="O94" i="3"/>
  <c r="N94" i="3"/>
  <c r="M94" i="3"/>
  <c r="T93" i="3"/>
  <c r="S93" i="3"/>
  <c r="R93" i="3"/>
  <c r="Q93" i="3"/>
  <c r="P93" i="3"/>
  <c r="O93" i="3"/>
  <c r="N93" i="3"/>
  <c r="M93" i="3"/>
  <c r="T92" i="3"/>
  <c r="S92" i="3"/>
  <c r="R92" i="3"/>
  <c r="Q92" i="3"/>
  <c r="P92" i="3"/>
  <c r="O92" i="3"/>
  <c r="N92" i="3"/>
  <c r="M92" i="3"/>
  <c r="T91" i="3"/>
  <c r="S91" i="3"/>
  <c r="R91" i="3"/>
  <c r="Q91" i="3"/>
  <c r="P91" i="3"/>
  <c r="O91" i="3"/>
  <c r="N91" i="3"/>
  <c r="M91" i="3"/>
  <c r="T90" i="3"/>
  <c r="S90" i="3"/>
  <c r="R90" i="3"/>
  <c r="Q90" i="3"/>
  <c r="P90" i="3"/>
  <c r="O90" i="3"/>
  <c r="N90" i="3"/>
  <c r="M90" i="3"/>
  <c r="T89" i="3"/>
  <c r="S89" i="3"/>
  <c r="R89" i="3"/>
  <c r="Q89" i="3"/>
  <c r="P89" i="3"/>
  <c r="O89" i="3"/>
  <c r="N89" i="3"/>
  <c r="M89" i="3"/>
  <c r="T88" i="3"/>
  <c r="S88" i="3"/>
  <c r="R88" i="3"/>
  <c r="Q88" i="3"/>
  <c r="P88" i="3"/>
  <c r="O88" i="3"/>
  <c r="N88" i="3"/>
  <c r="M88" i="3"/>
  <c r="T87" i="3"/>
  <c r="S87" i="3"/>
  <c r="R87" i="3"/>
  <c r="Q87" i="3"/>
  <c r="P87" i="3"/>
  <c r="O87" i="3"/>
  <c r="N87" i="3"/>
  <c r="M87" i="3"/>
  <c r="T86" i="3"/>
  <c r="S86" i="3"/>
  <c r="R86" i="3"/>
  <c r="Q86" i="3"/>
  <c r="P86" i="3"/>
  <c r="O86" i="3"/>
  <c r="N86" i="3"/>
  <c r="M86" i="3"/>
  <c r="T85" i="3"/>
  <c r="S85" i="3"/>
  <c r="R85" i="3"/>
  <c r="Q85" i="3"/>
  <c r="P85" i="3"/>
  <c r="O85" i="3"/>
  <c r="N85" i="3"/>
  <c r="M85" i="3"/>
  <c r="T84" i="3"/>
  <c r="S84" i="3"/>
  <c r="R84" i="3"/>
  <c r="Q84" i="3"/>
  <c r="P84" i="3"/>
  <c r="O84" i="3"/>
  <c r="N84" i="3"/>
  <c r="M84" i="3"/>
  <c r="T83" i="3"/>
  <c r="S83" i="3"/>
  <c r="R83" i="3"/>
  <c r="Q83" i="3"/>
  <c r="P83" i="3"/>
  <c r="O83" i="3"/>
  <c r="N83" i="3"/>
  <c r="M83" i="3"/>
  <c r="T82" i="3"/>
  <c r="S82" i="3"/>
  <c r="R82" i="3"/>
  <c r="Q82" i="3"/>
  <c r="P82" i="3"/>
  <c r="O82" i="3"/>
  <c r="N82" i="3"/>
  <c r="M82" i="3"/>
  <c r="T81" i="3"/>
  <c r="S81" i="3"/>
  <c r="R81" i="3"/>
  <c r="Q81" i="3"/>
  <c r="P81" i="3"/>
  <c r="O81" i="3"/>
  <c r="N81" i="3"/>
  <c r="M81" i="3"/>
  <c r="T80" i="3"/>
  <c r="S80" i="3"/>
  <c r="R80" i="3"/>
  <c r="Q80" i="3"/>
  <c r="P80" i="3"/>
  <c r="O80" i="3"/>
  <c r="N80" i="3"/>
  <c r="M80" i="3"/>
  <c r="T79" i="3"/>
  <c r="S79" i="3"/>
  <c r="R79" i="3"/>
  <c r="Q79" i="3"/>
  <c r="P79" i="3"/>
  <c r="O79" i="3"/>
  <c r="N79" i="3"/>
  <c r="M79" i="3"/>
  <c r="T78" i="3"/>
  <c r="S78" i="3"/>
  <c r="R78" i="3"/>
  <c r="Q78" i="3"/>
  <c r="P78" i="3"/>
  <c r="O78" i="3"/>
  <c r="N78" i="3"/>
  <c r="M78" i="3"/>
  <c r="T77" i="3"/>
  <c r="S77" i="3"/>
  <c r="R77" i="3"/>
  <c r="Q77" i="3"/>
  <c r="P77" i="3"/>
  <c r="O77" i="3"/>
  <c r="N77" i="3"/>
  <c r="M77" i="3"/>
  <c r="T76" i="3"/>
  <c r="S76" i="3"/>
  <c r="R76" i="3"/>
  <c r="Q76" i="3"/>
  <c r="P76" i="3"/>
  <c r="O76" i="3"/>
  <c r="N76" i="3"/>
  <c r="M76" i="3"/>
  <c r="T75" i="3"/>
  <c r="S75" i="3"/>
  <c r="R75" i="3"/>
  <c r="Q75" i="3"/>
  <c r="P75" i="3"/>
  <c r="O75" i="3"/>
  <c r="N75" i="3"/>
  <c r="M75" i="3"/>
  <c r="T74" i="3"/>
  <c r="S74" i="3"/>
  <c r="R74" i="3"/>
  <c r="Q74" i="3"/>
  <c r="P74" i="3"/>
  <c r="O74" i="3"/>
  <c r="N74" i="3"/>
  <c r="M74" i="3"/>
  <c r="T73" i="3"/>
  <c r="S73" i="3"/>
  <c r="R73" i="3"/>
  <c r="Q73" i="3"/>
  <c r="P73" i="3"/>
  <c r="O73" i="3"/>
  <c r="N73" i="3"/>
  <c r="M73" i="3"/>
  <c r="T72" i="3"/>
  <c r="S72" i="3"/>
  <c r="R72" i="3"/>
  <c r="Q72" i="3"/>
  <c r="P72" i="3"/>
  <c r="O72" i="3"/>
  <c r="N72" i="3"/>
  <c r="M72" i="3"/>
  <c r="T71" i="3"/>
  <c r="S71" i="3"/>
  <c r="R71" i="3"/>
  <c r="Q71" i="3"/>
  <c r="P71" i="3"/>
  <c r="O71" i="3"/>
  <c r="N71" i="3"/>
  <c r="M71" i="3"/>
  <c r="T70" i="3"/>
  <c r="S70" i="3"/>
  <c r="R70" i="3"/>
  <c r="Q70" i="3"/>
  <c r="P70" i="3"/>
  <c r="O70" i="3"/>
  <c r="N70" i="3"/>
  <c r="M70" i="3"/>
  <c r="T69" i="3"/>
  <c r="S69" i="3"/>
  <c r="R69" i="3"/>
  <c r="Q69" i="3"/>
  <c r="P69" i="3"/>
  <c r="O69" i="3"/>
  <c r="N69" i="3"/>
  <c r="M69" i="3"/>
  <c r="T68" i="3"/>
  <c r="S68" i="3"/>
  <c r="R68" i="3"/>
  <c r="Q68" i="3"/>
  <c r="P68" i="3"/>
  <c r="O68" i="3"/>
  <c r="N68" i="3"/>
  <c r="M68" i="3"/>
  <c r="T67" i="3"/>
  <c r="S67" i="3"/>
  <c r="R67" i="3"/>
  <c r="Q67" i="3"/>
  <c r="P67" i="3"/>
  <c r="O67" i="3"/>
  <c r="N67" i="3"/>
  <c r="M67" i="3"/>
  <c r="T66" i="3"/>
  <c r="S66" i="3"/>
  <c r="R66" i="3"/>
  <c r="Q66" i="3"/>
  <c r="P66" i="3"/>
  <c r="O66" i="3"/>
  <c r="N66" i="3"/>
  <c r="M66" i="3"/>
  <c r="T65" i="3"/>
  <c r="S65" i="3"/>
  <c r="R65" i="3"/>
  <c r="Q65" i="3"/>
  <c r="P65" i="3"/>
  <c r="O65" i="3"/>
  <c r="N65" i="3"/>
  <c r="M65" i="3"/>
  <c r="T64" i="3"/>
  <c r="S64" i="3"/>
  <c r="R64" i="3"/>
  <c r="Q64" i="3"/>
  <c r="P64" i="3"/>
  <c r="O64" i="3"/>
  <c r="N64" i="3"/>
  <c r="M64" i="3"/>
  <c r="T63" i="3"/>
  <c r="S63" i="3"/>
  <c r="R63" i="3"/>
  <c r="Q63" i="3"/>
  <c r="P63" i="3"/>
  <c r="O63" i="3"/>
  <c r="N63" i="3"/>
  <c r="M63" i="3"/>
  <c r="T62" i="3"/>
  <c r="S62" i="3"/>
  <c r="R62" i="3"/>
  <c r="Q62" i="3"/>
  <c r="P62" i="3"/>
  <c r="O62" i="3"/>
  <c r="N62" i="3"/>
  <c r="M62" i="3"/>
  <c r="T61" i="3"/>
  <c r="S61" i="3"/>
  <c r="R61" i="3"/>
  <c r="Q61" i="3"/>
  <c r="P61" i="3"/>
  <c r="O61" i="3"/>
  <c r="N61" i="3"/>
  <c r="M61" i="3"/>
  <c r="T60" i="3"/>
  <c r="S60" i="3"/>
  <c r="R60" i="3"/>
  <c r="Q60" i="3"/>
  <c r="P60" i="3"/>
  <c r="O60" i="3"/>
  <c r="N60" i="3"/>
  <c r="M60" i="3"/>
  <c r="T59" i="3"/>
  <c r="S59" i="3"/>
  <c r="R59" i="3"/>
  <c r="Q59" i="3"/>
  <c r="P59" i="3"/>
  <c r="O59" i="3"/>
  <c r="N59" i="3"/>
  <c r="M59" i="3"/>
  <c r="T58" i="3"/>
  <c r="S58" i="3"/>
  <c r="R58" i="3"/>
  <c r="Q58" i="3"/>
  <c r="P58" i="3"/>
  <c r="O58" i="3"/>
  <c r="N58" i="3"/>
  <c r="M58" i="3"/>
  <c r="T57" i="3"/>
  <c r="S57" i="3"/>
  <c r="R57" i="3"/>
  <c r="Q57" i="3"/>
  <c r="P57" i="3"/>
  <c r="O57" i="3"/>
  <c r="N57" i="3"/>
  <c r="M57" i="3"/>
  <c r="T56" i="3"/>
  <c r="S56" i="3"/>
  <c r="R56" i="3"/>
  <c r="Q56" i="3"/>
  <c r="P56" i="3"/>
  <c r="O56" i="3"/>
  <c r="N56" i="3"/>
  <c r="M56" i="3"/>
  <c r="T55" i="3"/>
  <c r="S55" i="3"/>
  <c r="R55" i="3"/>
  <c r="Q55" i="3"/>
  <c r="P55" i="3"/>
  <c r="O55" i="3"/>
  <c r="N55" i="3"/>
  <c r="M55" i="3"/>
  <c r="T54" i="3"/>
  <c r="S54" i="3"/>
  <c r="R54" i="3"/>
  <c r="Q54" i="3"/>
  <c r="P54" i="3"/>
  <c r="O54" i="3"/>
  <c r="N54" i="3"/>
  <c r="M54" i="3"/>
  <c r="T53" i="3"/>
  <c r="S53" i="3"/>
  <c r="R53" i="3"/>
  <c r="Q53" i="3"/>
  <c r="P53" i="3"/>
  <c r="O53" i="3"/>
  <c r="N53" i="3"/>
  <c r="M53" i="3"/>
  <c r="T52" i="3"/>
  <c r="S52" i="3"/>
  <c r="R52" i="3"/>
  <c r="Q52" i="3"/>
  <c r="P52" i="3"/>
  <c r="O52" i="3"/>
  <c r="N52" i="3"/>
  <c r="M52" i="3"/>
  <c r="T51" i="3"/>
  <c r="S51" i="3"/>
  <c r="R51" i="3"/>
  <c r="Q51" i="3"/>
  <c r="P51" i="3"/>
  <c r="O51" i="3"/>
  <c r="N51" i="3"/>
  <c r="M51" i="3"/>
  <c r="T50" i="3"/>
  <c r="S50" i="3"/>
  <c r="R50" i="3"/>
  <c r="Q50" i="3"/>
  <c r="P50" i="3"/>
  <c r="O50" i="3"/>
  <c r="N50" i="3"/>
  <c r="M50" i="3"/>
  <c r="T49" i="3"/>
  <c r="S49" i="3"/>
  <c r="R49" i="3"/>
  <c r="Q49" i="3"/>
  <c r="P49" i="3"/>
  <c r="O49" i="3"/>
  <c r="N49" i="3"/>
  <c r="M49" i="3"/>
  <c r="T48" i="3"/>
  <c r="S48" i="3"/>
  <c r="R48" i="3"/>
  <c r="Q48" i="3"/>
  <c r="P48" i="3"/>
  <c r="O48" i="3"/>
  <c r="N48" i="3"/>
  <c r="M48" i="3"/>
  <c r="T47" i="3"/>
  <c r="S47" i="3"/>
  <c r="R47" i="3"/>
  <c r="Q47" i="3"/>
  <c r="P47" i="3"/>
  <c r="O47" i="3"/>
  <c r="N47" i="3"/>
  <c r="M47" i="3"/>
  <c r="T46" i="3"/>
  <c r="S46" i="3"/>
  <c r="R46" i="3"/>
  <c r="Q46" i="3"/>
  <c r="P46" i="3"/>
  <c r="O46" i="3"/>
  <c r="N46" i="3"/>
  <c r="M46" i="3"/>
  <c r="T45" i="3"/>
  <c r="S45" i="3"/>
  <c r="R45" i="3"/>
  <c r="Q45" i="3"/>
  <c r="P45" i="3"/>
  <c r="O45" i="3"/>
  <c r="N45" i="3"/>
  <c r="M45" i="3"/>
  <c r="T44" i="3"/>
  <c r="S44" i="3"/>
  <c r="R44" i="3"/>
  <c r="Q44" i="3"/>
  <c r="P44" i="3"/>
  <c r="O44" i="3"/>
  <c r="N44" i="3"/>
  <c r="M44" i="3"/>
  <c r="T43" i="3"/>
  <c r="S43" i="3"/>
  <c r="R43" i="3"/>
  <c r="Q43" i="3"/>
  <c r="P43" i="3"/>
  <c r="O43" i="3"/>
  <c r="N43" i="3"/>
  <c r="M43" i="3"/>
  <c r="T42" i="3"/>
  <c r="S42" i="3"/>
  <c r="R42" i="3"/>
  <c r="Q42" i="3"/>
  <c r="P42" i="3"/>
  <c r="O42" i="3"/>
  <c r="N42" i="3"/>
  <c r="M42" i="3"/>
  <c r="T41" i="3"/>
  <c r="S41" i="3"/>
  <c r="R41" i="3"/>
  <c r="Q41" i="3"/>
  <c r="P41" i="3"/>
  <c r="O41" i="3"/>
  <c r="N41" i="3"/>
  <c r="M41" i="3"/>
  <c r="T40" i="3"/>
  <c r="S40" i="3"/>
  <c r="R40" i="3"/>
  <c r="Q40" i="3"/>
  <c r="P40" i="3"/>
  <c r="O40" i="3"/>
  <c r="N40" i="3"/>
  <c r="M40" i="3"/>
  <c r="T39" i="3"/>
  <c r="S39" i="3"/>
  <c r="R39" i="3"/>
  <c r="Q39" i="3"/>
  <c r="P39" i="3"/>
  <c r="O39" i="3"/>
  <c r="N39" i="3"/>
  <c r="M39" i="3"/>
  <c r="T38" i="3"/>
  <c r="S38" i="3"/>
  <c r="R38" i="3"/>
  <c r="Q38" i="3"/>
  <c r="P38" i="3"/>
  <c r="O38" i="3"/>
  <c r="N38" i="3"/>
  <c r="M38" i="3"/>
  <c r="T37" i="3"/>
  <c r="S37" i="3"/>
  <c r="R37" i="3"/>
  <c r="Q37" i="3"/>
  <c r="P37" i="3"/>
  <c r="O37" i="3"/>
  <c r="N37" i="3"/>
  <c r="M37" i="3"/>
  <c r="T36" i="3"/>
  <c r="S36" i="3"/>
  <c r="R36" i="3"/>
  <c r="Q36" i="3"/>
  <c r="P36" i="3"/>
  <c r="O36" i="3"/>
  <c r="N36" i="3"/>
  <c r="M36" i="3"/>
  <c r="T35" i="3"/>
  <c r="S35" i="3"/>
  <c r="R35" i="3"/>
  <c r="Q35" i="3"/>
  <c r="P35" i="3"/>
  <c r="O35" i="3"/>
  <c r="N35" i="3"/>
  <c r="M35" i="3"/>
  <c r="T34" i="3"/>
  <c r="S34" i="3"/>
  <c r="R34" i="3"/>
  <c r="Q34" i="3"/>
  <c r="P34" i="3"/>
  <c r="O34" i="3"/>
  <c r="N34" i="3"/>
  <c r="M34" i="3"/>
  <c r="T33" i="3"/>
  <c r="S33" i="3"/>
  <c r="R33" i="3"/>
  <c r="Q33" i="3"/>
  <c r="P33" i="3"/>
  <c r="O33" i="3"/>
  <c r="N33" i="3"/>
  <c r="M33" i="3"/>
  <c r="T32" i="3"/>
  <c r="S32" i="3"/>
  <c r="R32" i="3"/>
  <c r="Q32" i="3"/>
  <c r="P32" i="3"/>
  <c r="O32" i="3"/>
  <c r="N32" i="3"/>
  <c r="M32" i="3"/>
  <c r="T31" i="3"/>
  <c r="S31" i="3"/>
  <c r="R31" i="3"/>
  <c r="Q31" i="3"/>
  <c r="P31" i="3"/>
  <c r="O31" i="3"/>
  <c r="N31" i="3"/>
  <c r="M31" i="3"/>
  <c r="T30" i="3"/>
  <c r="S30" i="3"/>
  <c r="R30" i="3"/>
  <c r="Q30" i="3"/>
  <c r="P30" i="3"/>
  <c r="O30" i="3"/>
  <c r="N30" i="3"/>
  <c r="M30" i="3"/>
  <c r="T29" i="3"/>
  <c r="S29" i="3"/>
  <c r="R29" i="3"/>
  <c r="Q29" i="3"/>
  <c r="P29" i="3"/>
  <c r="O29" i="3"/>
  <c r="N29" i="3"/>
  <c r="M29" i="3"/>
  <c r="T28" i="3"/>
  <c r="S28" i="3"/>
  <c r="R28" i="3"/>
  <c r="Q28" i="3"/>
  <c r="P28" i="3"/>
  <c r="O28" i="3"/>
  <c r="N28" i="3"/>
  <c r="M28" i="3"/>
  <c r="T27" i="3"/>
  <c r="S27" i="3"/>
  <c r="R27" i="3"/>
  <c r="Q27" i="3"/>
  <c r="P27" i="3"/>
  <c r="O27" i="3"/>
  <c r="N27" i="3"/>
  <c r="M27" i="3"/>
  <c r="T26" i="3"/>
  <c r="S26" i="3"/>
  <c r="R26" i="3"/>
  <c r="Q26" i="3"/>
  <c r="P26" i="3"/>
  <c r="O26" i="3"/>
  <c r="N26" i="3"/>
  <c r="M26" i="3"/>
  <c r="T25" i="3"/>
  <c r="S25" i="3"/>
  <c r="R25" i="3"/>
  <c r="Q25" i="3"/>
  <c r="P25" i="3"/>
  <c r="O25" i="3"/>
  <c r="N25" i="3"/>
  <c r="M25" i="3"/>
  <c r="T24" i="3"/>
  <c r="S24" i="3"/>
  <c r="R24" i="3"/>
  <c r="Q24" i="3"/>
  <c r="P24" i="3"/>
  <c r="O24" i="3"/>
  <c r="N24" i="3"/>
  <c r="M24" i="3"/>
  <c r="T23" i="3"/>
  <c r="S23" i="3"/>
  <c r="R23" i="3"/>
  <c r="Q23" i="3"/>
  <c r="P23" i="3"/>
  <c r="O23" i="3"/>
  <c r="N23" i="3"/>
  <c r="M23" i="3"/>
  <c r="T22" i="3"/>
  <c r="S22" i="3"/>
  <c r="R22" i="3"/>
  <c r="Q22" i="3"/>
  <c r="P22" i="3"/>
  <c r="O22" i="3"/>
  <c r="N22" i="3"/>
  <c r="M22" i="3"/>
  <c r="T21" i="3"/>
  <c r="S21" i="3"/>
  <c r="R21" i="3"/>
  <c r="Q21" i="3"/>
  <c r="P21" i="3"/>
  <c r="O21" i="3"/>
  <c r="N21" i="3"/>
  <c r="M21" i="3"/>
  <c r="T20" i="3"/>
  <c r="S20" i="3"/>
  <c r="R20" i="3"/>
  <c r="Q20" i="3"/>
  <c r="P20" i="3"/>
  <c r="O20" i="3"/>
  <c r="N20" i="3"/>
  <c r="M20" i="3"/>
  <c r="T19" i="3"/>
  <c r="S19" i="3"/>
  <c r="R19" i="3"/>
  <c r="Q19" i="3"/>
  <c r="P19" i="3"/>
  <c r="O19" i="3"/>
  <c r="N19" i="3"/>
  <c r="M19" i="3"/>
  <c r="T18" i="3"/>
  <c r="S18" i="3"/>
  <c r="R18" i="3"/>
  <c r="Q18" i="3"/>
  <c r="P18" i="3"/>
  <c r="O18" i="3"/>
  <c r="N18" i="3"/>
  <c r="M18" i="3"/>
  <c r="T17" i="3"/>
  <c r="S17" i="3"/>
  <c r="R17" i="3"/>
  <c r="Q17" i="3"/>
  <c r="P17" i="3"/>
  <c r="O17" i="3"/>
  <c r="N17" i="3"/>
  <c r="M17" i="3"/>
  <c r="T16" i="3"/>
  <c r="S16" i="3"/>
  <c r="R16" i="3"/>
  <c r="Q16" i="3"/>
  <c r="P16" i="3"/>
  <c r="O16" i="3"/>
  <c r="N16" i="3"/>
  <c r="M16" i="3"/>
  <c r="T15" i="3"/>
  <c r="S15" i="3"/>
  <c r="R15" i="3"/>
  <c r="Q15" i="3"/>
  <c r="P15" i="3"/>
  <c r="O15" i="3"/>
  <c r="N15" i="3"/>
  <c r="M15" i="3"/>
  <c r="T14" i="3"/>
  <c r="S14" i="3"/>
  <c r="R14" i="3"/>
  <c r="Q14" i="3"/>
  <c r="P14" i="3"/>
  <c r="O14" i="3"/>
  <c r="N14" i="3"/>
  <c r="M14" i="3"/>
  <c r="T13" i="3"/>
  <c r="S13" i="3"/>
  <c r="R13" i="3"/>
  <c r="Q13" i="3"/>
  <c r="P13" i="3"/>
  <c r="O13" i="3"/>
  <c r="N13" i="3"/>
  <c r="M13" i="3"/>
  <c r="T12" i="3"/>
  <c r="S12" i="3"/>
  <c r="R12" i="3"/>
  <c r="Q12" i="3"/>
  <c r="P12" i="3"/>
  <c r="O12" i="3"/>
  <c r="N12" i="3"/>
  <c r="M12" i="3"/>
  <c r="T11" i="3"/>
  <c r="S11" i="3"/>
  <c r="R11" i="3"/>
  <c r="Q11" i="3"/>
  <c r="P11" i="3"/>
  <c r="O11" i="3"/>
  <c r="N11" i="3"/>
  <c r="M11" i="3"/>
  <c r="T10" i="3"/>
  <c r="S10" i="3"/>
  <c r="R10" i="3"/>
  <c r="Q10" i="3"/>
  <c r="P10" i="3"/>
  <c r="O10" i="3"/>
  <c r="N10" i="3"/>
  <c r="M10" i="3"/>
  <c r="T9" i="3"/>
  <c r="S9" i="3"/>
  <c r="R9" i="3"/>
  <c r="Q9" i="3"/>
  <c r="P9" i="3"/>
  <c r="O9" i="3"/>
  <c r="N9" i="3"/>
  <c r="M9" i="3"/>
  <c r="T8" i="3"/>
  <c r="S8" i="3"/>
  <c r="R8" i="3"/>
  <c r="Q8" i="3"/>
  <c r="P8" i="3"/>
  <c r="O8" i="3"/>
  <c r="N8" i="3"/>
  <c r="M8" i="3"/>
  <c r="T7" i="3"/>
  <c r="S7" i="3"/>
  <c r="R7" i="3"/>
  <c r="Q7" i="3"/>
  <c r="P7" i="3"/>
  <c r="O7" i="3"/>
  <c r="N7" i="3"/>
  <c r="M7" i="3"/>
  <c r="T6" i="3"/>
  <c r="S6" i="3"/>
  <c r="R6" i="3"/>
  <c r="Q6" i="3"/>
  <c r="P6" i="3"/>
  <c r="O6" i="3"/>
  <c r="N6" i="3"/>
  <c r="M6" i="3"/>
  <c r="T5" i="3"/>
  <c r="S5" i="3"/>
  <c r="R5" i="3"/>
  <c r="Q5" i="3"/>
  <c r="P5" i="3"/>
  <c r="O5" i="3"/>
  <c r="N5" i="3"/>
  <c r="M5" i="3"/>
  <c r="N4" i="3"/>
  <c r="O4" i="3"/>
  <c r="P4" i="3"/>
  <c r="Q4" i="3"/>
  <c r="R4" i="3"/>
  <c r="S4" i="3"/>
  <c r="T4" i="3"/>
  <c r="M4" i="3"/>
  <c r="K5" i="1" l="1"/>
  <c r="L5" i="1"/>
  <c r="M5" i="1"/>
  <c r="N5" i="1"/>
  <c r="O5" i="1"/>
  <c r="P5" i="1"/>
  <c r="K6" i="1"/>
  <c r="L6" i="1"/>
  <c r="M6" i="1"/>
  <c r="N6" i="1"/>
  <c r="O6" i="1"/>
  <c r="P6" i="1"/>
  <c r="K7" i="1"/>
  <c r="L7" i="1"/>
  <c r="M7" i="1"/>
  <c r="N7" i="1"/>
  <c r="O7" i="1"/>
  <c r="P7" i="1"/>
  <c r="K8" i="1"/>
  <c r="L8" i="1"/>
  <c r="M8" i="1"/>
  <c r="N8" i="1"/>
  <c r="O8" i="1"/>
  <c r="P8" i="1"/>
  <c r="K9" i="1"/>
  <c r="L9" i="1"/>
  <c r="M9" i="1"/>
  <c r="N9" i="1"/>
  <c r="O9" i="1"/>
  <c r="P9" i="1"/>
  <c r="K10" i="1"/>
  <c r="L10" i="1"/>
  <c r="M10" i="1"/>
  <c r="N10" i="1"/>
  <c r="O10" i="1"/>
  <c r="P10" i="1"/>
  <c r="K11" i="1"/>
  <c r="L11" i="1"/>
  <c r="M11" i="1"/>
  <c r="N11" i="1"/>
  <c r="O11" i="1"/>
  <c r="P11" i="1"/>
  <c r="K12" i="1"/>
  <c r="L12" i="1"/>
  <c r="M12" i="1"/>
  <c r="N12" i="1"/>
  <c r="O12" i="1"/>
  <c r="P12" i="1"/>
  <c r="K13" i="1"/>
  <c r="L13" i="1"/>
  <c r="M13" i="1"/>
  <c r="N13" i="1"/>
  <c r="O13" i="1"/>
  <c r="P13" i="1"/>
  <c r="K14" i="1"/>
  <c r="L14" i="1"/>
  <c r="M14" i="1"/>
  <c r="N14" i="1"/>
  <c r="O14" i="1"/>
  <c r="P14" i="1"/>
  <c r="K15" i="1"/>
  <c r="L15" i="1"/>
  <c r="M15" i="1"/>
  <c r="N15" i="1"/>
  <c r="O15" i="1"/>
  <c r="P15" i="1"/>
  <c r="K16" i="1"/>
  <c r="L16" i="1"/>
  <c r="M16" i="1"/>
  <c r="N16" i="1"/>
  <c r="O16" i="1"/>
  <c r="P16" i="1"/>
  <c r="K17" i="1"/>
  <c r="L17" i="1"/>
  <c r="M17" i="1"/>
  <c r="N17" i="1"/>
  <c r="O17" i="1"/>
  <c r="P17" i="1"/>
  <c r="K18" i="1"/>
  <c r="L18" i="1"/>
  <c r="M18" i="1"/>
  <c r="N18" i="1"/>
  <c r="O18" i="1"/>
  <c r="P18" i="1"/>
  <c r="K19" i="1"/>
  <c r="L19" i="1"/>
  <c r="M19" i="1"/>
  <c r="N19" i="1"/>
  <c r="O19" i="1"/>
  <c r="P19" i="1"/>
  <c r="K20" i="1"/>
  <c r="L20" i="1"/>
  <c r="M20" i="1"/>
  <c r="N20" i="1"/>
  <c r="O20" i="1"/>
  <c r="P20" i="1"/>
  <c r="K21" i="1"/>
  <c r="L21" i="1"/>
  <c r="M21" i="1"/>
  <c r="N21" i="1"/>
  <c r="O21" i="1"/>
  <c r="P21" i="1"/>
  <c r="K22" i="1"/>
  <c r="L22" i="1"/>
  <c r="M22" i="1"/>
  <c r="N22" i="1"/>
  <c r="O22" i="1"/>
  <c r="P22" i="1"/>
  <c r="K23" i="1"/>
  <c r="L23" i="1"/>
  <c r="M23" i="1"/>
  <c r="N23" i="1"/>
  <c r="O23" i="1"/>
  <c r="P23" i="1"/>
  <c r="K24" i="1"/>
  <c r="L24" i="1"/>
  <c r="M24" i="1"/>
  <c r="N24" i="1"/>
  <c r="O24" i="1"/>
  <c r="P24" i="1"/>
  <c r="K25" i="1"/>
  <c r="L25" i="1"/>
  <c r="M25" i="1"/>
  <c r="N25" i="1"/>
  <c r="O25" i="1"/>
  <c r="P25" i="1"/>
  <c r="K26" i="1"/>
  <c r="L26" i="1"/>
  <c r="M26" i="1"/>
  <c r="N26" i="1"/>
  <c r="O26" i="1"/>
  <c r="P26" i="1"/>
  <c r="K27" i="1"/>
  <c r="L27" i="1"/>
  <c r="M27" i="1"/>
  <c r="N27" i="1"/>
  <c r="O27" i="1"/>
  <c r="P27" i="1"/>
  <c r="K28" i="1"/>
  <c r="L28" i="1"/>
  <c r="M28" i="1"/>
  <c r="N28" i="1"/>
  <c r="O28" i="1"/>
  <c r="P28" i="1"/>
  <c r="K29" i="1"/>
  <c r="L29" i="1"/>
  <c r="M29" i="1"/>
  <c r="N29" i="1"/>
  <c r="O29" i="1"/>
  <c r="P29" i="1"/>
  <c r="K30" i="1"/>
  <c r="L30" i="1"/>
  <c r="M30" i="1"/>
  <c r="N30" i="1"/>
  <c r="O30" i="1"/>
  <c r="P30" i="1"/>
  <c r="K31" i="1"/>
  <c r="L31" i="1"/>
  <c r="M31" i="1"/>
  <c r="N31" i="1"/>
  <c r="O31" i="1"/>
  <c r="P31" i="1"/>
  <c r="K32" i="1"/>
  <c r="L32" i="1"/>
  <c r="M32" i="1"/>
  <c r="N32" i="1"/>
  <c r="O32" i="1"/>
  <c r="P32" i="1"/>
  <c r="K33" i="1"/>
  <c r="L33" i="1"/>
  <c r="M33" i="1"/>
  <c r="N33" i="1"/>
  <c r="O33" i="1"/>
  <c r="P33" i="1"/>
  <c r="K34" i="1"/>
  <c r="L34" i="1"/>
  <c r="M34" i="1"/>
  <c r="N34" i="1"/>
  <c r="O34" i="1"/>
  <c r="P34" i="1"/>
  <c r="K35" i="1"/>
  <c r="L35" i="1"/>
  <c r="M35" i="1"/>
  <c r="N35" i="1"/>
  <c r="O35" i="1"/>
  <c r="P35" i="1"/>
  <c r="K36" i="1"/>
  <c r="L36" i="1"/>
  <c r="M36" i="1"/>
  <c r="N36" i="1"/>
  <c r="O36" i="1"/>
  <c r="P36" i="1"/>
  <c r="K37" i="1"/>
  <c r="L37" i="1"/>
  <c r="M37" i="1"/>
  <c r="N37" i="1"/>
  <c r="O37" i="1"/>
  <c r="P37" i="1"/>
  <c r="K38" i="1"/>
  <c r="L38" i="1"/>
  <c r="M38" i="1"/>
  <c r="N38" i="1"/>
  <c r="O38" i="1"/>
  <c r="P38" i="1"/>
  <c r="K39" i="1"/>
  <c r="L39" i="1"/>
  <c r="M39" i="1"/>
  <c r="N39" i="1"/>
  <c r="O39" i="1"/>
  <c r="P39" i="1"/>
  <c r="K40" i="1"/>
  <c r="L40" i="1"/>
  <c r="M40" i="1"/>
  <c r="N40" i="1"/>
  <c r="O40" i="1"/>
  <c r="P40" i="1"/>
  <c r="K41" i="1"/>
  <c r="L41" i="1"/>
  <c r="M41" i="1"/>
  <c r="N41" i="1"/>
  <c r="O41" i="1"/>
  <c r="P41" i="1"/>
  <c r="K42" i="1"/>
  <c r="L42" i="1"/>
  <c r="M42" i="1"/>
  <c r="N42" i="1"/>
  <c r="O42" i="1"/>
  <c r="P42" i="1"/>
  <c r="K43" i="1"/>
  <c r="L43" i="1"/>
  <c r="M43" i="1"/>
  <c r="N43" i="1"/>
  <c r="O43" i="1"/>
  <c r="P43" i="1"/>
  <c r="K44" i="1"/>
  <c r="L44" i="1"/>
  <c r="M44" i="1"/>
  <c r="N44" i="1"/>
  <c r="O44" i="1"/>
  <c r="P44" i="1"/>
  <c r="K45" i="1"/>
  <c r="L45" i="1"/>
  <c r="M45" i="1"/>
  <c r="N45" i="1"/>
  <c r="O45" i="1"/>
  <c r="P45" i="1"/>
  <c r="K46" i="1"/>
  <c r="L46" i="1"/>
  <c r="M46" i="1"/>
  <c r="N46" i="1"/>
  <c r="O46" i="1"/>
  <c r="P46" i="1"/>
  <c r="K47" i="1"/>
  <c r="L47" i="1"/>
  <c r="M47" i="1"/>
  <c r="N47" i="1"/>
  <c r="O47" i="1"/>
  <c r="P47" i="1"/>
  <c r="K48" i="1"/>
  <c r="L48" i="1"/>
  <c r="M48" i="1"/>
  <c r="N48" i="1"/>
  <c r="O48" i="1"/>
  <c r="P48" i="1"/>
  <c r="K49" i="1"/>
  <c r="L49" i="1"/>
  <c r="M49" i="1"/>
  <c r="N49" i="1"/>
  <c r="O49" i="1"/>
  <c r="P49" i="1"/>
  <c r="K50" i="1"/>
  <c r="L50" i="1"/>
  <c r="M50" i="1"/>
  <c r="N50" i="1"/>
  <c r="O50" i="1"/>
  <c r="P50" i="1"/>
  <c r="K51" i="1"/>
  <c r="L51" i="1"/>
  <c r="M51" i="1"/>
  <c r="N51" i="1"/>
  <c r="O51" i="1"/>
  <c r="P51" i="1"/>
  <c r="K52" i="1"/>
  <c r="L52" i="1"/>
  <c r="M52" i="1"/>
  <c r="N52" i="1"/>
  <c r="O52" i="1"/>
  <c r="P52" i="1"/>
  <c r="K53" i="1"/>
  <c r="L53" i="1"/>
  <c r="M53" i="1"/>
  <c r="N53" i="1"/>
  <c r="O53" i="1"/>
  <c r="P53" i="1"/>
  <c r="K54" i="1"/>
  <c r="L54" i="1"/>
  <c r="M54" i="1"/>
  <c r="N54" i="1"/>
  <c r="O54" i="1"/>
  <c r="P54" i="1"/>
  <c r="K55" i="1"/>
  <c r="L55" i="1"/>
  <c r="M55" i="1"/>
  <c r="N55" i="1"/>
  <c r="O55" i="1"/>
  <c r="P55" i="1"/>
  <c r="K56" i="1"/>
  <c r="L56" i="1"/>
  <c r="M56" i="1"/>
  <c r="N56" i="1"/>
  <c r="O56" i="1"/>
  <c r="P56" i="1"/>
  <c r="K57" i="1"/>
  <c r="L57" i="1"/>
  <c r="M57" i="1"/>
  <c r="N57" i="1"/>
  <c r="O57" i="1"/>
  <c r="P57" i="1"/>
  <c r="K58" i="1"/>
  <c r="L58" i="1"/>
  <c r="M58" i="1"/>
  <c r="N58" i="1"/>
  <c r="O58" i="1"/>
  <c r="P58" i="1"/>
  <c r="K59" i="1"/>
  <c r="L59" i="1"/>
  <c r="M59" i="1"/>
  <c r="N59" i="1"/>
  <c r="O59" i="1"/>
  <c r="P59" i="1"/>
  <c r="K60" i="1"/>
  <c r="L60" i="1"/>
  <c r="M60" i="1"/>
  <c r="N60" i="1"/>
  <c r="O60" i="1"/>
  <c r="P60" i="1"/>
  <c r="K61" i="1"/>
  <c r="L61" i="1"/>
  <c r="M61" i="1"/>
  <c r="N61" i="1"/>
  <c r="O61" i="1"/>
  <c r="P61" i="1"/>
  <c r="K62" i="1"/>
  <c r="L62" i="1"/>
  <c r="M62" i="1"/>
  <c r="N62" i="1"/>
  <c r="O62" i="1"/>
  <c r="P62" i="1"/>
  <c r="K63" i="1"/>
  <c r="L63" i="1"/>
  <c r="M63" i="1"/>
  <c r="N63" i="1"/>
  <c r="O63" i="1"/>
  <c r="P63" i="1"/>
  <c r="K64" i="1"/>
  <c r="L64" i="1"/>
  <c r="M64" i="1"/>
  <c r="N64" i="1"/>
  <c r="O64" i="1"/>
  <c r="P64" i="1"/>
  <c r="K65" i="1"/>
  <c r="L65" i="1"/>
  <c r="M65" i="1"/>
  <c r="N65" i="1"/>
  <c r="O65" i="1"/>
  <c r="P65" i="1"/>
  <c r="K66" i="1"/>
  <c r="L66" i="1"/>
  <c r="M66" i="1"/>
  <c r="N66" i="1"/>
  <c r="O66" i="1"/>
  <c r="P66" i="1"/>
  <c r="K67" i="1"/>
  <c r="L67" i="1"/>
  <c r="M67" i="1"/>
  <c r="N67" i="1"/>
  <c r="O67" i="1"/>
  <c r="P67" i="1"/>
  <c r="K68" i="1"/>
  <c r="L68" i="1"/>
  <c r="M68" i="1"/>
  <c r="N68" i="1"/>
  <c r="O68" i="1"/>
  <c r="P68" i="1"/>
  <c r="K69" i="1"/>
  <c r="L69" i="1"/>
  <c r="M69" i="1"/>
  <c r="N69" i="1"/>
  <c r="O69" i="1"/>
  <c r="P69" i="1"/>
  <c r="K70" i="1"/>
  <c r="L70" i="1"/>
  <c r="M70" i="1"/>
  <c r="N70" i="1"/>
  <c r="O70" i="1"/>
  <c r="P70" i="1"/>
  <c r="K71" i="1"/>
  <c r="L71" i="1"/>
  <c r="M71" i="1"/>
  <c r="N71" i="1"/>
  <c r="O71" i="1"/>
  <c r="P71" i="1"/>
  <c r="K72" i="1"/>
  <c r="L72" i="1"/>
  <c r="M72" i="1"/>
  <c r="N72" i="1"/>
  <c r="O72" i="1"/>
  <c r="P72" i="1"/>
  <c r="K73" i="1"/>
  <c r="L73" i="1"/>
  <c r="M73" i="1"/>
  <c r="N73" i="1"/>
  <c r="O73" i="1"/>
  <c r="P73" i="1"/>
  <c r="K74" i="1"/>
  <c r="L74" i="1"/>
  <c r="M74" i="1"/>
  <c r="N74" i="1"/>
  <c r="O74" i="1"/>
  <c r="P74" i="1"/>
  <c r="K75" i="1"/>
  <c r="L75" i="1"/>
  <c r="M75" i="1"/>
  <c r="N75" i="1"/>
  <c r="O75" i="1"/>
  <c r="P75" i="1"/>
  <c r="K76" i="1"/>
  <c r="L76" i="1"/>
  <c r="M76" i="1"/>
  <c r="N76" i="1"/>
  <c r="O76" i="1"/>
  <c r="P76" i="1"/>
  <c r="K77" i="1"/>
  <c r="L77" i="1"/>
  <c r="M77" i="1"/>
  <c r="N77" i="1"/>
  <c r="O77" i="1"/>
  <c r="P77" i="1"/>
  <c r="K78" i="1"/>
  <c r="L78" i="1"/>
  <c r="M78" i="1"/>
  <c r="N78" i="1"/>
  <c r="O78" i="1"/>
  <c r="P78" i="1"/>
  <c r="K79" i="1"/>
  <c r="L79" i="1"/>
  <c r="M79" i="1"/>
  <c r="N79" i="1"/>
  <c r="O79" i="1"/>
  <c r="P79" i="1"/>
  <c r="K80" i="1"/>
  <c r="L80" i="1"/>
  <c r="M80" i="1"/>
  <c r="N80" i="1"/>
  <c r="O80" i="1"/>
  <c r="P80" i="1"/>
  <c r="K81" i="1"/>
  <c r="L81" i="1"/>
  <c r="M81" i="1"/>
  <c r="N81" i="1"/>
  <c r="O81" i="1"/>
  <c r="P81" i="1"/>
  <c r="K82" i="1"/>
  <c r="L82" i="1"/>
  <c r="M82" i="1"/>
  <c r="N82" i="1"/>
  <c r="O82" i="1"/>
  <c r="P82" i="1"/>
  <c r="K83" i="1"/>
  <c r="L83" i="1"/>
  <c r="M83" i="1"/>
  <c r="N83" i="1"/>
  <c r="O83" i="1"/>
  <c r="P83" i="1"/>
  <c r="K84" i="1"/>
  <c r="L84" i="1"/>
  <c r="M84" i="1"/>
  <c r="N84" i="1"/>
  <c r="O84" i="1"/>
  <c r="P84" i="1"/>
  <c r="K85" i="1"/>
  <c r="L85" i="1"/>
  <c r="M85" i="1"/>
  <c r="N85" i="1"/>
  <c r="O85" i="1"/>
  <c r="P85" i="1"/>
  <c r="K86" i="1"/>
  <c r="L86" i="1"/>
  <c r="M86" i="1"/>
  <c r="N86" i="1"/>
  <c r="O86" i="1"/>
  <c r="P86" i="1"/>
  <c r="K87" i="1"/>
  <c r="L87" i="1"/>
  <c r="M87" i="1"/>
  <c r="N87" i="1"/>
  <c r="O87" i="1"/>
  <c r="P87" i="1"/>
  <c r="K88" i="1"/>
  <c r="L88" i="1"/>
  <c r="M88" i="1"/>
  <c r="N88" i="1"/>
  <c r="O88" i="1"/>
  <c r="P88" i="1"/>
  <c r="K89" i="1"/>
  <c r="L89" i="1"/>
  <c r="M89" i="1"/>
  <c r="N89" i="1"/>
  <c r="O89" i="1"/>
  <c r="P89" i="1"/>
  <c r="K90" i="1"/>
  <c r="L90" i="1"/>
  <c r="M90" i="1"/>
  <c r="N90" i="1"/>
  <c r="O90" i="1"/>
  <c r="P90" i="1"/>
  <c r="K91" i="1"/>
  <c r="L91" i="1"/>
  <c r="M91" i="1"/>
  <c r="N91" i="1"/>
  <c r="O91" i="1"/>
  <c r="P91" i="1"/>
  <c r="K92" i="1"/>
  <c r="L92" i="1"/>
  <c r="M92" i="1"/>
  <c r="N92" i="1"/>
  <c r="O92" i="1"/>
  <c r="P92" i="1"/>
  <c r="K93" i="1"/>
  <c r="L93" i="1"/>
  <c r="M93" i="1"/>
  <c r="N93" i="1"/>
  <c r="O93" i="1"/>
  <c r="P93" i="1"/>
  <c r="K94" i="1"/>
  <c r="L94" i="1"/>
  <c r="M94" i="1"/>
  <c r="N94" i="1"/>
  <c r="O94" i="1"/>
  <c r="P94" i="1"/>
  <c r="K95" i="1"/>
  <c r="L95" i="1"/>
  <c r="M95" i="1"/>
  <c r="N95" i="1"/>
  <c r="O95" i="1"/>
  <c r="P95" i="1"/>
  <c r="K96" i="1"/>
  <c r="L96" i="1"/>
  <c r="M96" i="1"/>
  <c r="N96" i="1"/>
  <c r="O96" i="1"/>
  <c r="P96" i="1"/>
  <c r="K97" i="1"/>
  <c r="L97" i="1"/>
  <c r="M97" i="1"/>
  <c r="N97" i="1"/>
  <c r="O97" i="1"/>
  <c r="P97" i="1"/>
  <c r="K98" i="1"/>
  <c r="L98" i="1"/>
  <c r="M98" i="1"/>
  <c r="N98" i="1"/>
  <c r="O98" i="1"/>
  <c r="P98" i="1"/>
  <c r="K99" i="1"/>
  <c r="L99" i="1"/>
  <c r="M99" i="1"/>
  <c r="N99" i="1"/>
  <c r="O99" i="1"/>
  <c r="P99" i="1"/>
  <c r="K100" i="1"/>
  <c r="L100" i="1"/>
  <c r="M100" i="1"/>
  <c r="N100" i="1"/>
  <c r="O100" i="1"/>
  <c r="P100" i="1"/>
  <c r="K101" i="1"/>
  <c r="L101" i="1"/>
  <c r="M101" i="1"/>
  <c r="N101" i="1"/>
  <c r="O101" i="1"/>
  <c r="P101" i="1"/>
  <c r="K102" i="1"/>
  <c r="L102" i="1"/>
  <c r="M102" i="1"/>
  <c r="N102" i="1"/>
  <c r="O102" i="1"/>
  <c r="P102" i="1"/>
  <c r="K103" i="1"/>
  <c r="L103" i="1"/>
  <c r="M103" i="1"/>
  <c r="N103" i="1"/>
  <c r="O103" i="1"/>
  <c r="P103" i="1"/>
  <c r="K104" i="1"/>
  <c r="L104" i="1"/>
  <c r="M104" i="1"/>
  <c r="N104" i="1"/>
  <c r="O104" i="1"/>
  <c r="P104" i="1"/>
  <c r="K105" i="1"/>
  <c r="L105" i="1"/>
  <c r="M105" i="1"/>
  <c r="N105" i="1"/>
  <c r="O105" i="1"/>
  <c r="P105" i="1"/>
  <c r="K106" i="1"/>
  <c r="L106" i="1"/>
  <c r="M106" i="1"/>
  <c r="N106" i="1"/>
  <c r="O106" i="1"/>
  <c r="P106" i="1"/>
  <c r="K107" i="1"/>
  <c r="L107" i="1"/>
  <c r="M107" i="1"/>
  <c r="N107" i="1"/>
  <c r="O107" i="1"/>
  <c r="P107" i="1"/>
  <c r="K108" i="1"/>
  <c r="L108" i="1"/>
  <c r="M108" i="1"/>
  <c r="N108" i="1"/>
  <c r="O108" i="1"/>
  <c r="P108" i="1"/>
  <c r="K109" i="1"/>
  <c r="L109" i="1"/>
  <c r="M109" i="1"/>
  <c r="N109" i="1"/>
  <c r="O109" i="1"/>
  <c r="P109" i="1"/>
  <c r="K110" i="1"/>
  <c r="L110" i="1"/>
  <c r="M110" i="1"/>
  <c r="N110" i="1"/>
  <c r="O110" i="1"/>
  <c r="P110" i="1"/>
  <c r="K111" i="1"/>
  <c r="L111" i="1"/>
  <c r="M111" i="1"/>
  <c r="N111" i="1"/>
  <c r="O111" i="1"/>
  <c r="P111" i="1"/>
  <c r="K112" i="1"/>
  <c r="L112" i="1"/>
  <c r="M112" i="1"/>
  <c r="N112" i="1"/>
  <c r="O112" i="1"/>
  <c r="P112" i="1"/>
  <c r="K113" i="1"/>
  <c r="L113" i="1"/>
  <c r="M113" i="1"/>
  <c r="N113" i="1"/>
  <c r="O113" i="1"/>
  <c r="P113" i="1"/>
  <c r="K114" i="1"/>
  <c r="L114" i="1"/>
  <c r="M114" i="1"/>
  <c r="N114" i="1"/>
  <c r="O114" i="1"/>
  <c r="P114" i="1"/>
  <c r="K115" i="1"/>
  <c r="L115" i="1"/>
  <c r="M115" i="1"/>
  <c r="N115" i="1"/>
  <c r="O115" i="1"/>
  <c r="P115" i="1"/>
  <c r="K116" i="1"/>
  <c r="L116" i="1"/>
  <c r="M116" i="1"/>
  <c r="N116" i="1"/>
  <c r="O116" i="1"/>
  <c r="P116" i="1"/>
  <c r="K117" i="1"/>
  <c r="L117" i="1"/>
  <c r="M117" i="1"/>
  <c r="N117" i="1"/>
  <c r="O117" i="1"/>
  <c r="P117" i="1"/>
  <c r="K118" i="1"/>
  <c r="L118" i="1"/>
  <c r="M118" i="1"/>
  <c r="N118" i="1"/>
  <c r="O118" i="1"/>
  <c r="P118" i="1"/>
  <c r="L4" i="1"/>
  <c r="M4" i="1"/>
  <c r="N4" i="1"/>
  <c r="O4" i="1"/>
  <c r="P4" i="1"/>
  <c r="K4" i="1"/>
</calcChain>
</file>

<file path=xl/sharedStrings.xml><?xml version="1.0" encoding="utf-8"?>
<sst xmlns="http://schemas.openxmlformats.org/spreadsheetml/2006/main" count="2366" uniqueCount="136">
  <si>
    <t>month_3</t>
  </si>
  <si>
    <t>month_4</t>
  </si>
  <si>
    <t>month_5</t>
  </si>
  <si>
    <t>month_6</t>
  </si>
  <si>
    <t>month_7</t>
  </si>
  <si>
    <t>month_8</t>
  </si>
  <si>
    <t>month_9</t>
  </si>
  <si>
    <t>month_10</t>
  </si>
  <si>
    <t>doubleheader</t>
  </si>
  <si>
    <t>pit_team_is_home</t>
  </si>
  <si>
    <t>game_type_Division</t>
  </si>
  <si>
    <t>game_type_Interleague</t>
  </si>
  <si>
    <t>game_type_Intraleague</t>
  </si>
  <si>
    <t>game_stat</t>
  </si>
  <si>
    <t>throws_L</t>
  </si>
  <si>
    <t>bats_L</t>
  </si>
  <si>
    <t>position_1B</t>
  </si>
  <si>
    <t>position_2B</t>
  </si>
  <si>
    <t>position_3B</t>
  </si>
  <si>
    <t>position_C</t>
  </si>
  <si>
    <t>position_CF</t>
  </si>
  <si>
    <t>position_DH</t>
  </si>
  <si>
    <t>position_LF</t>
  </si>
  <si>
    <t>position_P</t>
  </si>
  <si>
    <t>position_PH_PR</t>
  </si>
  <si>
    <t>position_RF</t>
  </si>
  <si>
    <t>position_SS</t>
  </si>
  <si>
    <t>position_group_DH_PH_PR</t>
  </si>
  <si>
    <t>position_group_Infielder</t>
  </si>
  <si>
    <t>position_group_Outfielder</t>
  </si>
  <si>
    <t>position_group_Pitcher_Catcher</t>
  </si>
  <si>
    <t>lineup_spot_1</t>
  </si>
  <si>
    <t>lineup_spot_2</t>
  </si>
  <si>
    <t>lineup_spot_3</t>
  </si>
  <si>
    <t>lineup_spot_4</t>
  </si>
  <si>
    <t>lineup_spot_5</t>
  </si>
  <si>
    <t>lineup_spot_6</t>
  </si>
  <si>
    <t>lineup_spot_7</t>
  </si>
  <si>
    <t>lineup_spot_8</t>
  </si>
  <si>
    <t>lineup_spot_9</t>
  </si>
  <si>
    <t>fld_run_diff_Down by 1 run</t>
  </si>
  <si>
    <t>fld_run_diff_Down by 2 to 3 runs</t>
  </si>
  <si>
    <t>fld_run_diff_Down by 4 to 6 runs</t>
  </si>
  <si>
    <t>fld_run_diff_Down by 7 or more runs</t>
  </si>
  <si>
    <t>fld_run_diff_Tie score</t>
  </si>
  <si>
    <t>fld_run_diff_Up by 1 run</t>
  </si>
  <si>
    <t>fld_run_diff_Up by 2 to 3 runs</t>
  </si>
  <si>
    <t>fld_run_diff_Up by 4 to 6 runs</t>
  </si>
  <si>
    <t>fld_run_diff_Up by 7 or more runs</t>
  </si>
  <si>
    <t>pit_team_is_ahead</t>
  </si>
  <si>
    <t>pit_team_is_behind</t>
  </si>
  <si>
    <t>runners_on_1st</t>
  </si>
  <si>
    <t>runners_on_1st_2nd</t>
  </si>
  <si>
    <t>runners_on_1st_3rd</t>
  </si>
  <si>
    <t>runners_on_2nd</t>
  </si>
  <si>
    <t>runners_on_2nd_3rd</t>
  </si>
  <si>
    <t>runners_on_3rd</t>
  </si>
  <si>
    <t>runners_on_empty</t>
  </si>
  <si>
    <t>runners_on_full</t>
  </si>
  <si>
    <t>risp</t>
  </si>
  <si>
    <t>half_Top</t>
  </si>
  <si>
    <t>inning_rec_1</t>
  </si>
  <si>
    <t>inning_rec_2</t>
  </si>
  <si>
    <t>inning_rec_3</t>
  </si>
  <si>
    <t>inning_rec_4</t>
  </si>
  <si>
    <t>inning_rec_5</t>
  </si>
  <si>
    <t>inning_rec_6</t>
  </si>
  <si>
    <t>inning_rec_7</t>
  </si>
  <si>
    <t>inning_rec_8</t>
  </si>
  <si>
    <t>inning_rec_9</t>
  </si>
  <si>
    <t>inning_rec_10</t>
  </si>
  <si>
    <t>outs_ct</t>
  </si>
  <si>
    <t>num_pitches</t>
  </si>
  <si>
    <t>the_count_0-0</t>
  </si>
  <si>
    <t>the_count_0-1</t>
  </si>
  <si>
    <t>the_count_0-2</t>
  </si>
  <si>
    <t>the_count_1-0</t>
  </si>
  <si>
    <t>the_count_1-1</t>
  </si>
  <si>
    <t>the_count_1-2</t>
  </si>
  <si>
    <t>the_count_2-0</t>
  </si>
  <si>
    <t>the_count_2-1</t>
  </si>
  <si>
    <t>the_count_2-2</t>
  </si>
  <si>
    <t>the_count_3-0</t>
  </si>
  <si>
    <t>the_count_3-1</t>
  </si>
  <si>
    <t>the_count_3-2</t>
  </si>
  <si>
    <t>pitch_type_Changeup (CH)</t>
  </si>
  <si>
    <t>pitch_type_Curveball (CU, CS)</t>
  </si>
  <si>
    <t>pitch_type_Cutter (FC)</t>
  </si>
  <si>
    <t>pitch_type_Fastball (FA)</t>
  </si>
  <si>
    <t>pitch_type_Knuckleball (KN)</t>
  </si>
  <si>
    <t>pitch_type_Sinker (SI)</t>
  </si>
  <si>
    <t>pitch_type_Slider (SL, SB)</t>
  </si>
  <si>
    <t>pitch_type_Splitter (FS)</t>
  </si>
  <si>
    <t>velocity</t>
  </si>
  <si>
    <t>low_velocity</t>
  </si>
  <si>
    <t>avg_velocity</t>
  </si>
  <si>
    <t>high_velocity</t>
  </si>
  <si>
    <t>velocity_range_70-79 mph</t>
  </si>
  <si>
    <t>velocity_range_80-89 mph</t>
  </si>
  <si>
    <t>velocity_range_90-95 mph</t>
  </si>
  <si>
    <t>velocity_range_96+ mph</t>
  </si>
  <si>
    <t>velocity_range_Under 70 mph</t>
  </si>
  <si>
    <t>velocity_range_Unknown</t>
  </si>
  <si>
    <t>rbi_on_play</t>
  </si>
  <si>
    <t>win_prob_added</t>
  </si>
  <si>
    <t>base_out_runs_added</t>
  </si>
  <si>
    <t>leverage_index</t>
  </si>
  <si>
    <t>winning_team_Team pitching</t>
  </si>
  <si>
    <t>pit_removed</t>
  </si>
  <si>
    <t>bat_removed</t>
  </si>
  <si>
    <t>pit_ejected</t>
  </si>
  <si>
    <t>bat_ejected</t>
  </si>
  <si>
    <t>any_ejection</t>
  </si>
  <si>
    <t>ejections_ct</t>
  </si>
  <si>
    <t>velocity_missing</t>
  </si>
  <si>
    <t>TOTAL</t>
  </si>
  <si>
    <t>RAW MEANS</t>
  </si>
  <si>
    <t>DIFFERENCE FROM TOTAL</t>
  </si>
  <si>
    <t>mean</t>
  </si>
  <si>
    <t>std</t>
  </si>
  <si>
    <t>Mean</t>
  </si>
  <si>
    <t>Difference</t>
  </si>
  <si>
    <t>Std Diff</t>
  </si>
  <si>
    <t>Total</t>
  </si>
  <si>
    <t>EJECTIONS!
High game stat (more hbps in game), no runners on , fastball, no strikes in the count, high velocity, pitching team down by many runs, late innings, low leverage</t>
  </si>
  <si>
    <t>UNCLASSIFIED
Missing velocity &amp; pitch type, early/late season games (Mar/Sept), division games,</t>
  </si>
  <si>
    <t>HIGH LEVERAGE
High win prob added, high leverage, high base out runs added, bases full, rbi, runners in scoring position, late and close games, higher game stat, fewer outs, pitching team is not behind</t>
  </si>
  <si>
    <t>WHOOPS!
High number of pitches, deep counts with two strikes, higher than average outs, pitching team is home, sliders, changeups, splitters, curves,  low base out runs added, low win probability added</t>
  </si>
  <si>
    <t>EARLY INNINGS, FEW OUTS, NO ON ON BASE
Base out runs added, runners on - empty, avg velocity, pitching team home, few outs, minimal risp, few pitches, low leverage, earlier innings</t>
  </si>
  <si>
    <t>MANY OUTS &amp; EARLY COUNTS
More outs, early counts, runners in scoring position, low base out runs added, low number of pitches, low win probability added, low leverage</t>
  </si>
  <si>
    <t>EARLY PLUNKS
High base out runs added, bases empty, high win prob added, tie score, top half of inning, leadoff batter, few outs, low game stat, low risp</t>
  </si>
  <si>
    <t>FRUSTRATION/REVENGE PLUNK
High game stat, pitching team is behind, late innings, low leverage, low win prob added, few outs</t>
  </si>
  <si>
    <t>WHOOPS!
High pitch count, many strikes, higher than average outs, pitching team is home/top of the inning, no runners on, intraleague game, lower velocity/movement pitches, low base out runs added, low win prob added, low leverage, low game stat, less likely division game</t>
  </si>
  <si>
    <t xml:space="preserve">DANGEROUS BUT NOT DAMAGING
High leverage, risp, pitching team is ahead, higher than average outs, high win probability added, winning team is pitching, late and close, hitting an infielder,  pinch hitter, Division game  </t>
  </si>
  <si>
    <t>RIBS FOR RBIS
Highest win probability added, highest base out runs added, highest leverage, bases full or at least risp, late and close, few outs</t>
  </si>
  <si>
    <t>MANY OUTS &amp; EARLY COUNTS
Most outs, early count, moderately high velocity, pitching team is behind, (Interleague), low base out runs added, low pitch count, low win prob added, low leverage, low game stat, pitching team is away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</si>
</sst>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7" x14ac:knownFonts="1">
    <font>
      <sz val="11"/>
      <color theme="1"/>
      <name val="Calibri"/>
      <family val="2"/>
      <scheme val="minor"/>
    </font>
    <font>
      <b/>
      <sz val="11"/>
      <color theme="1"/>
      <name val="Calibri"/>
      <family val="2"/>
      <scheme val="minor"/>
    </font>
    <font>
      <b/>
      <sz val="11"/>
      <name val="Calibri"/>
      <family val="2"/>
    </font>
    <font>
      <b/>
      <sz val="11"/>
      <color rgb="FF000000"/>
      <name val="Helvetica Neue"/>
      <family val="2"/>
    </font>
    <font>
      <sz val="11"/>
      <color rgb="FF000000"/>
      <name val="Calibri"/>
      <family val="2"/>
      <scheme val="minor"/>
    </font>
    <font>
      <sz val="11"/>
      <color rgb="FF000000"/>
      <name val="Helvetica Neue"/>
      <family val="2"/>
    </font>
    <font>
      <sz val="10"/>
      <color theme="1"/>
      <name val="Calibri"/>
      <family val="2"/>
      <scheme val="minor"/>
    </font>
  </fonts>
  <fills count="2">
    <fill>
      <patternFill patternType="none"/>
    </fill>
    <fill>
      <patternFill patternType="gray125"/>
    </fill>
  </fills>
  <borders count="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
    <xf numFmtId="0" fontId="0" fillId="0" borderId="0"/>
  </cellStyleXfs>
  <cellXfs count="26">
    <xf numFmtId="0" fontId="0" fillId="0" borderId="0" xfId="0"/>
    <xf numFmtId="0" fontId="1" fillId="0" borderId="1" xfId="0" applyFont="1" applyBorder="1" applyAlignment="1">
      <alignment horizontal="center" vertical="top"/>
    </xf>
    <xf numFmtId="0" fontId="2" fillId="0" borderId="2" xfId="0" applyFont="1" applyBorder="1" applyAlignment="1">
      <alignment horizontal="center" vertical="top"/>
    </xf>
    <xf numFmtId="0" fontId="0" fillId="0" borderId="0" xfId="0" applyFont="1"/>
    <xf numFmtId="0" fontId="3" fillId="0" borderId="0" xfId="0" applyFont="1"/>
    <xf numFmtId="0" fontId="5" fillId="0" borderId="0" xfId="0" applyFont="1"/>
    <xf numFmtId="0" fontId="0" fillId="0" borderId="0" xfId="0" applyFont="1" applyAlignment="1">
      <alignment horizontal="right"/>
    </xf>
    <xf numFmtId="0" fontId="1" fillId="0" borderId="1" xfId="0" applyFont="1" applyBorder="1" applyAlignment="1">
      <alignment horizontal="right" vertical="top"/>
    </xf>
    <xf numFmtId="0" fontId="0" fillId="0" borderId="3" xfId="0" applyFont="1" applyBorder="1" applyAlignment="1">
      <alignment horizontal="center"/>
    </xf>
    <xf numFmtId="0" fontId="0" fillId="0" borderId="0" xfId="0" applyAlignment="1">
      <alignment horizontal="right"/>
    </xf>
    <xf numFmtId="0" fontId="2" fillId="0" borderId="2" xfId="0" applyFont="1" applyBorder="1" applyAlignment="1">
      <alignment horizontal="right" vertical="top"/>
    </xf>
    <xf numFmtId="164" fontId="4" fillId="0" borderId="2" xfId="0" applyNumberFormat="1" applyFont="1" applyBorder="1"/>
    <xf numFmtId="0" fontId="0" fillId="0" borderId="2" xfId="0" applyBorder="1"/>
    <xf numFmtId="0" fontId="5" fillId="0" borderId="2" xfId="0" applyFont="1" applyBorder="1"/>
    <xf numFmtId="0" fontId="1" fillId="0" borderId="2" xfId="0" applyFont="1" applyBorder="1" applyAlignment="1">
      <alignment horizontal="center" vertical="top"/>
    </xf>
    <xf numFmtId="0" fontId="0" fillId="0" borderId="2" xfId="0" applyFont="1" applyBorder="1"/>
    <xf numFmtId="0" fontId="0" fillId="0" borderId="2" xfId="0" applyFont="1" applyFill="1" applyBorder="1"/>
    <xf numFmtId="10" fontId="0" fillId="0" borderId="0" xfId="0" applyNumberFormat="1" applyFont="1"/>
    <xf numFmtId="0" fontId="0" fillId="0" borderId="0" xfId="0" applyFont="1" applyBorder="1" applyAlignment="1">
      <alignment horizontal="center"/>
    </xf>
    <xf numFmtId="0" fontId="0" fillId="0" borderId="0" xfId="0" applyFont="1" applyAlignment="1">
      <alignment wrapText="1"/>
    </xf>
    <xf numFmtId="0" fontId="0" fillId="0" borderId="0" xfId="0" applyFont="1" applyAlignment="1">
      <alignment horizontal="right" wrapText="1"/>
    </xf>
    <xf numFmtId="0" fontId="6" fillId="0" borderId="0" xfId="0" applyFont="1" applyAlignment="1">
      <alignment horizontal="right" wrapText="1"/>
    </xf>
    <xf numFmtId="0" fontId="0" fillId="0" borderId="0" xfId="0" applyAlignment="1">
      <alignment horizontal="right" wrapText="1"/>
    </xf>
    <xf numFmtId="0" fontId="0" fillId="0" borderId="0" xfId="0" applyAlignment="1">
      <alignment wrapText="1"/>
    </xf>
    <xf numFmtId="10" fontId="0" fillId="0" borderId="0" xfId="0" applyNumberFormat="1" applyFont="1" applyAlignment="1">
      <alignment wrapText="1"/>
    </xf>
    <xf numFmtId="10" fontId="0" fillId="0" borderId="0" xfId="0" applyNumberFormat="1" applyAlignment="1">
      <alignment wrapText="1"/>
    </xf>
  </cellXfs>
  <cellStyles count="1">
    <cellStyle name="Normal" xfId="0" builtinId="0"/>
  </cellStyles>
  <dxfs count="14">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B118"/>
  <sheetViews>
    <sheetView topLeftCell="AB1" zoomScale="125" workbookViewId="0">
      <pane ySplit="1" topLeftCell="A2" activePane="bottomLeft" state="frozen"/>
      <selection activeCell="T1" sqref="T1"/>
      <selection pane="bottomLeft" activeCell="AO1" sqref="AO1"/>
    </sheetView>
  </sheetViews>
  <sheetFormatPr baseColWidth="10" defaultColWidth="8.83203125" defaultRowHeight="15" x14ac:dyDescent="0.2"/>
  <cols>
    <col min="1" max="1" width="29.5" style="3" bestFit="1" customWidth="1"/>
    <col min="2" max="9" width="8.83203125" style="3"/>
    <col min="10" max="10" width="29.5" style="3" bestFit="1" customWidth="1"/>
    <col min="11" max="14" width="9" style="3" bestFit="1" customWidth="1"/>
    <col min="15" max="15" width="9" style="3" customWidth="1"/>
    <col min="16" max="16" width="9" style="3" bestFit="1" customWidth="1"/>
    <col min="17" max="25" width="8.83203125" style="3"/>
    <col min="26" max="26" width="29.5" style="6" bestFit="1" customWidth="1"/>
    <col min="27" max="30" width="8.83203125" style="3"/>
    <col min="31" max="31" width="29.5" style="6" bestFit="1" customWidth="1"/>
    <col min="32" max="35" width="8.83203125" style="3"/>
    <col min="36" max="36" width="29.5" style="6" bestFit="1" customWidth="1"/>
    <col min="37" max="40" width="8.83203125" style="3"/>
    <col min="41" max="41" width="29.5" style="6" bestFit="1" customWidth="1"/>
    <col min="42" max="45" width="8.83203125" style="3"/>
    <col min="46" max="46" width="29.5" style="6" bestFit="1" customWidth="1"/>
    <col min="47" max="50" width="8.83203125" style="3"/>
    <col min="51" max="51" width="29.5" style="6" bestFit="1" customWidth="1"/>
    <col min="52" max="16384" width="8.83203125" style="3"/>
  </cols>
  <sheetData>
    <row r="1" spans="1:54" s="19" customFormat="1" ht="112" x14ac:dyDescent="0.2">
      <c r="Z1" s="21" t="s">
        <v>128</v>
      </c>
      <c r="AE1" s="20" t="s">
        <v>129</v>
      </c>
      <c r="AJ1" s="20" t="s">
        <v>125</v>
      </c>
      <c r="AO1" s="20" t="s">
        <v>124</v>
      </c>
      <c r="AT1" s="20" t="s">
        <v>127</v>
      </c>
      <c r="AY1" s="20" t="s">
        <v>126</v>
      </c>
    </row>
    <row r="2" spans="1:54" x14ac:dyDescent="0.2">
      <c r="B2" s="18" t="s">
        <v>116</v>
      </c>
      <c r="C2" s="18"/>
      <c r="D2" s="18"/>
      <c r="E2" s="18"/>
      <c r="F2" s="18"/>
      <c r="G2" s="18"/>
      <c r="K2" s="8" t="s">
        <v>117</v>
      </c>
      <c r="L2" s="8"/>
      <c r="M2" s="8"/>
      <c r="N2" s="8"/>
      <c r="O2" s="8"/>
      <c r="P2" s="8"/>
      <c r="AA2" s="3">
        <v>0</v>
      </c>
      <c r="AC2" s="17">
        <v>0.33600000000000002</v>
      </c>
      <c r="AF2" s="3">
        <v>1</v>
      </c>
      <c r="AH2" s="17">
        <v>0.32800000000000001</v>
      </c>
      <c r="AK2" s="3">
        <v>2</v>
      </c>
      <c r="AM2" s="17">
        <v>1.4E-2</v>
      </c>
      <c r="AP2" s="3">
        <v>3</v>
      </c>
      <c r="AR2" s="17">
        <v>5.0000000000000001E-4</v>
      </c>
      <c r="AU2" s="3">
        <v>4</v>
      </c>
      <c r="AW2" s="17">
        <v>0.21099999999999999</v>
      </c>
      <c r="AZ2" s="3">
        <v>5</v>
      </c>
      <c r="BB2" s="17">
        <v>0.106</v>
      </c>
    </row>
    <row r="3" spans="1:54" x14ac:dyDescent="0.2">
      <c r="B3" s="14">
        <v>0</v>
      </c>
      <c r="C3" s="14">
        <v>1</v>
      </c>
      <c r="D3" s="14">
        <v>2</v>
      </c>
      <c r="E3" s="14">
        <v>3</v>
      </c>
      <c r="F3" s="14">
        <v>4</v>
      </c>
      <c r="G3" s="14">
        <v>5</v>
      </c>
      <c r="H3" s="15" t="s">
        <v>115</v>
      </c>
      <c r="K3" s="1">
        <v>0</v>
      </c>
      <c r="L3" s="1">
        <v>1</v>
      </c>
      <c r="M3" s="1">
        <v>2</v>
      </c>
      <c r="N3" s="1">
        <v>3</v>
      </c>
      <c r="O3" s="1">
        <v>4</v>
      </c>
      <c r="P3" s="1">
        <v>5</v>
      </c>
      <c r="Q3" s="3" t="s">
        <v>115</v>
      </c>
      <c r="W3" s="4" t="s">
        <v>118</v>
      </c>
      <c r="X3" s="4" t="s">
        <v>119</v>
      </c>
      <c r="AA3" s="14" t="s">
        <v>120</v>
      </c>
      <c r="AB3" s="15" t="s">
        <v>121</v>
      </c>
      <c r="AC3" s="16" t="s">
        <v>122</v>
      </c>
      <c r="AF3" s="14" t="s">
        <v>120</v>
      </c>
      <c r="AG3" s="15" t="s">
        <v>121</v>
      </c>
      <c r="AH3" s="16" t="s">
        <v>122</v>
      </c>
      <c r="AK3" s="14" t="s">
        <v>120</v>
      </c>
      <c r="AL3" s="15" t="s">
        <v>121</v>
      </c>
      <c r="AM3" s="16" t="s">
        <v>122</v>
      </c>
      <c r="AP3" s="14" t="s">
        <v>120</v>
      </c>
      <c r="AQ3" s="15" t="s">
        <v>121</v>
      </c>
      <c r="AR3" s="16" t="s">
        <v>122</v>
      </c>
      <c r="AU3" s="14" t="s">
        <v>120</v>
      </c>
      <c r="AV3" s="15" t="s">
        <v>121</v>
      </c>
      <c r="AW3" s="16" t="s">
        <v>122</v>
      </c>
      <c r="AZ3" s="14" t="s">
        <v>120</v>
      </c>
      <c r="BA3" s="15" t="s">
        <v>121</v>
      </c>
      <c r="BB3" s="16" t="s">
        <v>122</v>
      </c>
    </row>
    <row r="4" spans="1:54" x14ac:dyDescent="0.2">
      <c r="A4" s="1" t="s">
        <v>0</v>
      </c>
      <c r="B4" s="15">
        <v>4.6165301563663441E-3</v>
      </c>
      <c r="C4" s="15">
        <v>3.668602873738918E-3</v>
      </c>
      <c r="D4" s="15">
        <v>5.2447552447552448E-2</v>
      </c>
      <c r="E4" s="15">
        <v>9.9009900990099011E-3</v>
      </c>
      <c r="F4" s="15">
        <v>5.2281368821292772E-3</v>
      </c>
      <c r="G4" s="15">
        <v>5.6683986773736423E-3</v>
      </c>
      <c r="H4" s="15">
        <v>5.2579999999999997E-3</v>
      </c>
      <c r="J4" s="1" t="s">
        <v>0</v>
      </c>
      <c r="K4" s="11">
        <f>B4-$H4</f>
        <v>-6.4146984363365554E-4</v>
      </c>
      <c r="L4" s="11">
        <f t="shared" ref="L4:P4" si="0">C4-$H4</f>
        <v>-1.5893971262610817E-3</v>
      </c>
      <c r="M4" s="11">
        <f t="shared" si="0"/>
        <v>4.7189552447552449E-2</v>
      </c>
      <c r="N4" s="11">
        <f t="shared" si="0"/>
        <v>4.6429900990099015E-3</v>
      </c>
      <c r="O4" s="11">
        <f t="shared" si="0"/>
        <v>-2.9863117870722496E-5</v>
      </c>
      <c r="P4" s="11">
        <f t="shared" si="0"/>
        <v>4.1039867737364261E-4</v>
      </c>
      <c r="U4" s="3">
        <v>1</v>
      </c>
      <c r="V4" s="4" t="s">
        <v>0</v>
      </c>
      <c r="W4" s="5">
        <v>5.2579999999999997E-3</v>
      </c>
      <c r="X4" s="5">
        <v>7.2323999999999999E-2</v>
      </c>
      <c r="Z4" s="7" t="s">
        <v>105</v>
      </c>
      <c r="AA4" s="15">
        <v>0.41774087862993231</v>
      </c>
      <c r="AB4" s="15">
        <v>8.6109878629932302E-2</v>
      </c>
      <c r="AC4" s="15">
        <v>0.45707821260951792</v>
      </c>
      <c r="AE4" s="7" t="s">
        <v>71</v>
      </c>
      <c r="AF4" s="15">
        <v>1.6371140324059921</v>
      </c>
      <c r="AG4" s="15">
        <v>0.6485820324059921</v>
      </c>
      <c r="AH4" s="15">
        <v>0.79951829402525598</v>
      </c>
      <c r="AJ4" s="7" t="s">
        <v>102</v>
      </c>
      <c r="AK4" s="15">
        <v>1</v>
      </c>
      <c r="AL4" s="15">
        <v>0.98562799999999995</v>
      </c>
      <c r="AM4" s="15">
        <v>8.280987708258067</v>
      </c>
      <c r="AO4" s="7" t="s">
        <v>112</v>
      </c>
      <c r="AP4" s="15">
        <v>1</v>
      </c>
      <c r="AQ4" s="15">
        <v>0.994892</v>
      </c>
      <c r="AR4" s="15">
        <v>13.955757550253194</v>
      </c>
      <c r="AT4" s="7" t="s">
        <v>72</v>
      </c>
      <c r="AU4" s="15">
        <v>5.2136406844106462</v>
      </c>
      <c r="AV4" s="15">
        <v>2.0884966844106461</v>
      </c>
      <c r="AW4" s="15">
        <v>1.2188007147725453</v>
      </c>
      <c r="AY4" s="7" t="s">
        <v>104</v>
      </c>
      <c r="AZ4" s="15">
        <v>8.5937647614549112E-2</v>
      </c>
      <c r="BA4" s="15">
        <v>5.6192647614549111E-2</v>
      </c>
      <c r="BB4" s="15">
        <v>1.9681498936832025</v>
      </c>
    </row>
    <row r="5" spans="1:54" x14ac:dyDescent="0.2">
      <c r="A5" s="1" t="s">
        <v>1</v>
      </c>
      <c r="B5" s="15">
        <v>0.1560685033507074</v>
      </c>
      <c r="C5" s="15">
        <v>0.14720269030877409</v>
      </c>
      <c r="D5" s="15">
        <v>0.1818181818181818</v>
      </c>
      <c r="E5" s="15">
        <v>0.12871287128712869</v>
      </c>
      <c r="F5" s="15">
        <v>0.14139733840304181</v>
      </c>
      <c r="G5" s="15">
        <v>0.15540859707132729</v>
      </c>
      <c r="H5" s="15">
        <v>0.15023300000000001</v>
      </c>
      <c r="J5" s="1" t="s">
        <v>1</v>
      </c>
      <c r="K5" s="11">
        <f t="shared" ref="K5:K68" si="1">B5-$H5</f>
        <v>5.8355033507073995E-3</v>
      </c>
      <c r="L5" s="11">
        <f t="shared" ref="L5:L68" si="2">C5-$H5</f>
        <v>-3.0303096912259186E-3</v>
      </c>
      <c r="M5" s="11">
        <f t="shared" ref="M5:M68" si="3">D5-$H5</f>
        <v>3.158518181818179E-2</v>
      </c>
      <c r="N5" s="11">
        <f t="shared" ref="N5:N68" si="4">E5-$H5</f>
        <v>-2.1520128712871317E-2</v>
      </c>
      <c r="O5" s="11">
        <f t="shared" ref="O5:O68" si="5">F5-$H5</f>
        <v>-8.8356615969581997E-3</v>
      </c>
      <c r="P5" s="11">
        <f t="shared" ref="P5:P68" si="6">G5-$H5</f>
        <v>5.1755970713272814E-3</v>
      </c>
      <c r="U5" s="3">
        <v>2</v>
      </c>
      <c r="V5" s="4" t="s">
        <v>1</v>
      </c>
      <c r="W5" s="5">
        <v>0.15023300000000001</v>
      </c>
      <c r="X5" s="5">
        <v>0.35730800000000001</v>
      </c>
      <c r="Z5" s="7" t="s">
        <v>57</v>
      </c>
      <c r="AA5" s="15">
        <v>0.66433358153387934</v>
      </c>
      <c r="AB5" s="15">
        <v>0.14643058153387933</v>
      </c>
      <c r="AC5" s="15">
        <v>0.29304167674063086</v>
      </c>
      <c r="AE5" s="7" t="s">
        <v>73</v>
      </c>
      <c r="AF5" s="15">
        <v>0.29608682360134508</v>
      </c>
      <c r="AG5" s="15">
        <v>9.9631823601345093E-2</v>
      </c>
      <c r="AH5" s="15">
        <v>0.25075586194043453</v>
      </c>
      <c r="AJ5" s="7" t="s">
        <v>114</v>
      </c>
      <c r="AK5" s="15">
        <v>1</v>
      </c>
      <c r="AL5" s="15">
        <v>0.98562799999999995</v>
      </c>
      <c r="AM5" s="15">
        <v>8.280987708258067</v>
      </c>
      <c r="AO5" s="7" t="s">
        <v>113</v>
      </c>
      <c r="AP5" s="15">
        <v>1.5148514851485151</v>
      </c>
      <c r="AQ5" s="15">
        <v>1.5071394851485151</v>
      </c>
      <c r="AR5" s="15">
        <v>12.279322501169281</v>
      </c>
      <c r="AT5" s="7" t="s">
        <v>81</v>
      </c>
      <c r="AU5" s="15">
        <v>0.35004752851711018</v>
      </c>
      <c r="AV5" s="15">
        <v>0.2377735285171102</v>
      </c>
      <c r="AW5" s="15">
        <v>0.7531366614312146</v>
      </c>
      <c r="AY5" s="7" t="s">
        <v>106</v>
      </c>
      <c r="AZ5" s="15">
        <v>2.848663202645251</v>
      </c>
      <c r="BA5" s="15">
        <v>1.804382202645251</v>
      </c>
      <c r="BB5" s="15">
        <v>1.9259521545444027</v>
      </c>
    </row>
    <row r="6" spans="1:54" x14ac:dyDescent="0.2">
      <c r="A6" s="1" t="s">
        <v>2</v>
      </c>
      <c r="B6" s="15">
        <v>0.16798212956068501</v>
      </c>
      <c r="C6" s="15">
        <v>0.17303576887801889</v>
      </c>
      <c r="D6" s="15">
        <v>0.10139860139860141</v>
      </c>
      <c r="E6" s="15">
        <v>0.18811881188118809</v>
      </c>
      <c r="F6" s="15">
        <v>0.1699144486692015</v>
      </c>
      <c r="G6" s="15">
        <v>0.16438356164383561</v>
      </c>
      <c r="H6" s="15">
        <v>0.16881199999999999</v>
      </c>
      <c r="J6" s="1" t="s">
        <v>2</v>
      </c>
      <c r="K6" s="11">
        <f t="shared" si="1"/>
        <v>-8.2987043931498361E-4</v>
      </c>
      <c r="L6" s="11">
        <f t="shared" si="2"/>
        <v>4.2237688780188964E-3</v>
      </c>
      <c r="M6" s="11">
        <f t="shared" si="3"/>
        <v>-6.7413398601398583E-2</v>
      </c>
      <c r="N6" s="11">
        <f t="shared" si="4"/>
        <v>1.9306811881188102E-2</v>
      </c>
      <c r="O6" s="11">
        <f t="shared" si="5"/>
        <v>1.1024486692015056E-3</v>
      </c>
      <c r="P6" s="11">
        <f t="shared" si="6"/>
        <v>-4.4284383561643825E-3</v>
      </c>
      <c r="U6" s="3">
        <v>3</v>
      </c>
      <c r="V6" s="4" t="s">
        <v>2</v>
      </c>
      <c r="W6" s="5">
        <v>0.16881199999999999</v>
      </c>
      <c r="X6" s="5">
        <v>0.37459500000000001</v>
      </c>
      <c r="Z6" s="7" t="s">
        <v>95</v>
      </c>
      <c r="AA6" s="15">
        <v>0.57334326135517499</v>
      </c>
      <c r="AB6" s="15">
        <v>9.8357261355174974E-2</v>
      </c>
      <c r="AC6" s="15">
        <v>0.19695638515131578</v>
      </c>
      <c r="AE6" s="7" t="s">
        <v>74</v>
      </c>
      <c r="AF6" s="15">
        <v>0.23784775298073979</v>
      </c>
      <c r="AG6" s="15">
        <v>7.7599752980739789E-2</v>
      </c>
      <c r="AH6" s="15">
        <v>0.21153280808172334</v>
      </c>
      <c r="AJ6" s="7" t="s">
        <v>0</v>
      </c>
      <c r="AK6" s="15">
        <v>5.2447552447552448E-2</v>
      </c>
      <c r="AL6" s="15">
        <v>4.7189552447552449E-2</v>
      </c>
      <c r="AM6" s="15">
        <v>0.6524743162373825</v>
      </c>
      <c r="AO6" s="7" t="s">
        <v>110</v>
      </c>
      <c r="AP6" s="15">
        <v>0.63366336633663367</v>
      </c>
      <c r="AQ6" s="15">
        <v>0.63045836633663366</v>
      </c>
      <c r="AR6" s="15">
        <v>11.154014584092028</v>
      </c>
      <c r="AT6" s="7" t="s">
        <v>84</v>
      </c>
      <c r="AU6" s="15">
        <v>0.15256653992395439</v>
      </c>
      <c r="AV6" s="15">
        <v>0.11315553992395438</v>
      </c>
      <c r="AW6" s="15">
        <v>0.58154931709951063</v>
      </c>
      <c r="AY6" s="7" t="s">
        <v>105</v>
      </c>
      <c r="AZ6" s="15">
        <v>0.61707132735002668</v>
      </c>
      <c r="BA6" s="15">
        <v>0.28544032735002667</v>
      </c>
      <c r="BB6" s="15">
        <v>1.5151403846767733</v>
      </c>
    </row>
    <row r="7" spans="1:54" x14ac:dyDescent="0.2">
      <c r="A7" s="1" t="s">
        <v>3</v>
      </c>
      <c r="B7" s="15">
        <v>0.15487714072970959</v>
      </c>
      <c r="C7" s="15">
        <v>0.1670742892081932</v>
      </c>
      <c r="D7" s="15">
        <v>0.10139860139860141</v>
      </c>
      <c r="E7" s="15">
        <v>0.1386138613861386</v>
      </c>
      <c r="F7" s="15">
        <v>0.1720532319391635</v>
      </c>
      <c r="G7" s="15">
        <v>0.17997165800661311</v>
      </c>
      <c r="H7" s="15">
        <v>0.16430500000000001</v>
      </c>
      <c r="J7" s="1" t="s">
        <v>3</v>
      </c>
      <c r="K7" s="11">
        <f t="shared" si="1"/>
        <v>-9.4278592702904118E-3</v>
      </c>
      <c r="L7" s="11">
        <f t="shared" si="2"/>
        <v>2.769289208193193E-3</v>
      </c>
      <c r="M7" s="11">
        <f t="shared" si="3"/>
        <v>-6.29063986013986E-2</v>
      </c>
      <c r="N7" s="11">
        <f t="shared" si="4"/>
        <v>-2.5691138613861408E-2</v>
      </c>
      <c r="O7" s="11">
        <f t="shared" si="5"/>
        <v>7.7482319391634913E-3</v>
      </c>
      <c r="P7" s="11">
        <f t="shared" si="6"/>
        <v>1.5666658006613099E-2</v>
      </c>
      <c r="U7" s="3">
        <v>4</v>
      </c>
      <c r="V7" s="4" t="s">
        <v>3</v>
      </c>
      <c r="W7" s="5">
        <v>0.16430500000000001</v>
      </c>
      <c r="X7" s="5">
        <v>0.37056099999999997</v>
      </c>
      <c r="Z7" s="7" t="s">
        <v>9</v>
      </c>
      <c r="AA7" s="15">
        <v>0.56798212956068506</v>
      </c>
      <c r="AB7" s="15">
        <v>6.7356129560685041E-2</v>
      </c>
      <c r="AC7" s="15">
        <v>0.13470902610474356</v>
      </c>
      <c r="AE7" s="7" t="s">
        <v>54</v>
      </c>
      <c r="AF7" s="15">
        <v>0.14139406909202079</v>
      </c>
      <c r="AG7" s="15">
        <v>4.5095069092020795E-2</v>
      </c>
      <c r="AH7" s="15">
        <v>0.15285997746516478</v>
      </c>
      <c r="AJ7" s="7" t="s">
        <v>6</v>
      </c>
      <c r="AK7" s="15">
        <v>0.36363636363636359</v>
      </c>
      <c r="AL7" s="15">
        <v>0.19672736363636359</v>
      </c>
      <c r="AM7" s="15">
        <v>0.52755498368578391</v>
      </c>
      <c r="AO7" s="7" t="s">
        <v>111</v>
      </c>
      <c r="AP7" s="15">
        <v>6.9306930693069313E-2</v>
      </c>
      <c r="AQ7" s="15">
        <v>6.8955930693069309E-2</v>
      </c>
      <c r="AR7" s="15">
        <v>3.6835433062537022</v>
      </c>
      <c r="AT7" s="7" t="s">
        <v>78</v>
      </c>
      <c r="AU7" s="15">
        <v>0.32129277566539932</v>
      </c>
      <c r="AV7" s="15">
        <v>0.16590177566539932</v>
      </c>
      <c r="AW7" s="15">
        <v>0.45793040764865139</v>
      </c>
      <c r="AY7" s="7" t="s">
        <v>58</v>
      </c>
      <c r="AZ7" s="15">
        <v>0.2026452527161077</v>
      </c>
      <c r="BA7" s="15">
        <v>0.1742512527161077</v>
      </c>
      <c r="BB7" s="15">
        <v>1.0490743691517621</v>
      </c>
    </row>
    <row r="8" spans="1:54" x14ac:dyDescent="0.2">
      <c r="A8" s="1" t="s">
        <v>4</v>
      </c>
      <c r="B8" s="15">
        <v>0.1521965748324646</v>
      </c>
      <c r="C8" s="15">
        <v>0.16493427086517881</v>
      </c>
      <c r="D8" s="15">
        <v>8.7412587412587409E-2</v>
      </c>
      <c r="E8" s="15">
        <v>0.11881188118811881</v>
      </c>
      <c r="F8" s="15">
        <v>0.16896387832699619</v>
      </c>
      <c r="G8" s="15">
        <v>0.15304676428908831</v>
      </c>
      <c r="H8" s="15">
        <v>0.15889600000000001</v>
      </c>
      <c r="J8" s="1" t="s">
        <v>4</v>
      </c>
      <c r="K8" s="11">
        <f t="shared" si="1"/>
        <v>-6.6994251675354111E-3</v>
      </c>
      <c r="L8" s="11">
        <f t="shared" si="2"/>
        <v>6.038270865178802E-3</v>
      </c>
      <c r="M8" s="11">
        <f t="shared" si="3"/>
        <v>-7.1483412587412601E-2</v>
      </c>
      <c r="N8" s="11">
        <f t="shared" si="4"/>
        <v>-4.0084118811881203E-2</v>
      </c>
      <c r="O8" s="11">
        <f t="shared" si="5"/>
        <v>1.0067878326996182E-2</v>
      </c>
      <c r="P8" s="11">
        <f t="shared" si="6"/>
        <v>-5.8492357109116988E-3</v>
      </c>
      <c r="U8" s="3">
        <v>5</v>
      </c>
      <c r="V8" s="4" t="s">
        <v>4</v>
      </c>
      <c r="W8" s="5">
        <v>0.15889600000000001</v>
      </c>
      <c r="X8" s="5">
        <v>0.365589</v>
      </c>
      <c r="Z8" s="7" t="s">
        <v>60</v>
      </c>
      <c r="AA8" s="15">
        <v>0.56798212956068506</v>
      </c>
      <c r="AB8" s="15">
        <v>6.7356129560685041E-2</v>
      </c>
      <c r="AC8" s="15">
        <v>0.13470902610474356</v>
      </c>
      <c r="AE8" s="7" t="s">
        <v>56</v>
      </c>
      <c r="AF8" s="15">
        <v>6.465912564964843E-2</v>
      </c>
      <c r="AG8" s="15">
        <v>2.7201125649648432E-2</v>
      </c>
      <c r="AH8" s="15">
        <v>0.14324976907011802</v>
      </c>
      <c r="AJ8" s="7" t="s">
        <v>10</v>
      </c>
      <c r="AK8" s="15">
        <v>0.59440559440559437</v>
      </c>
      <c r="AL8" s="15">
        <v>0.12582959440559438</v>
      </c>
      <c r="AM8" s="15">
        <v>0.25215138832119172</v>
      </c>
      <c r="AO8" s="7" t="s">
        <v>108</v>
      </c>
      <c r="AP8" s="15">
        <v>0.65346534653465349</v>
      </c>
      <c r="AQ8" s="15">
        <v>0.58716234653465349</v>
      </c>
      <c r="AR8" s="15">
        <v>2.3598160356191635</v>
      </c>
      <c r="AT8" s="7" t="s">
        <v>71</v>
      </c>
      <c r="AU8" s="15">
        <v>1.3239068441064641</v>
      </c>
      <c r="AV8" s="15">
        <v>0.33537484410646412</v>
      </c>
      <c r="AW8" s="15">
        <v>0.41342237345721006</v>
      </c>
      <c r="AY8" s="7" t="s">
        <v>103</v>
      </c>
      <c r="AZ8" s="15">
        <v>0.2026452527161077</v>
      </c>
      <c r="BA8" s="15">
        <v>0.1742512527161077</v>
      </c>
      <c r="BB8" s="15">
        <v>1.0490743691517621</v>
      </c>
    </row>
    <row r="9" spans="1:54" x14ac:dyDescent="0.2">
      <c r="A9" s="1" t="s">
        <v>5</v>
      </c>
      <c r="B9" s="15">
        <v>0.18004467609828739</v>
      </c>
      <c r="C9" s="15">
        <v>0.17441149495567099</v>
      </c>
      <c r="D9" s="15">
        <v>0.1048951048951049</v>
      </c>
      <c r="E9" s="15">
        <v>0.198019801980198</v>
      </c>
      <c r="F9" s="15">
        <v>0.18013307984790869</v>
      </c>
      <c r="G9" s="15">
        <v>0.1794992914501653</v>
      </c>
      <c r="H9" s="15">
        <v>0.177175</v>
      </c>
      <c r="J9" s="1" t="s">
        <v>5</v>
      </c>
      <c r="K9" s="11">
        <f t="shared" si="1"/>
        <v>2.8696760982873937E-3</v>
      </c>
      <c r="L9" s="11">
        <f t="shared" si="2"/>
        <v>-2.7635050443290121E-3</v>
      </c>
      <c r="M9" s="11">
        <f t="shared" si="3"/>
        <v>-7.2279895104895103E-2</v>
      </c>
      <c r="N9" s="11">
        <f t="shared" si="4"/>
        <v>2.0844801980198002E-2</v>
      </c>
      <c r="O9" s="11">
        <f t="shared" si="5"/>
        <v>2.9580798479086901E-3</v>
      </c>
      <c r="P9" s="11">
        <f t="shared" si="6"/>
        <v>2.3242914501653E-3</v>
      </c>
      <c r="U9" s="3">
        <v>6</v>
      </c>
      <c r="V9" s="4" t="s">
        <v>5</v>
      </c>
      <c r="W9" s="5">
        <v>0.177175</v>
      </c>
      <c r="X9" s="5">
        <v>0.381826</v>
      </c>
      <c r="Z9" s="7" t="s">
        <v>93</v>
      </c>
      <c r="AA9" s="15">
        <v>88.943708116157723</v>
      </c>
      <c r="AB9" s="15">
        <v>1.5425111161577263</v>
      </c>
      <c r="AC9" s="15">
        <v>0.12600312601150793</v>
      </c>
      <c r="AE9" s="7" t="s">
        <v>59</v>
      </c>
      <c r="AF9" s="15">
        <v>0.36563741974931208</v>
      </c>
      <c r="AG9" s="15">
        <v>6.3018419749312049E-2</v>
      </c>
      <c r="AH9" s="15">
        <v>0.13717459343824931</v>
      </c>
      <c r="AJ9" s="7" t="s">
        <v>23</v>
      </c>
      <c r="AK9" s="15">
        <v>2.097902097902098E-2</v>
      </c>
      <c r="AL9" s="15">
        <v>1.256602097902098E-2</v>
      </c>
      <c r="AM9" s="15">
        <v>0.13757714181415159</v>
      </c>
      <c r="AO9" s="7" t="s">
        <v>13</v>
      </c>
      <c r="AP9" s="15">
        <v>2.0990099009900991</v>
      </c>
      <c r="AQ9" s="15">
        <v>0.71160990099009913</v>
      </c>
      <c r="AR9" s="15">
        <v>1.0367684932101047</v>
      </c>
      <c r="AT9" s="7" t="s">
        <v>9</v>
      </c>
      <c r="AU9" s="15">
        <v>0.60646387832699622</v>
      </c>
      <c r="AV9" s="15">
        <v>0.1058378783269962</v>
      </c>
      <c r="AW9" s="15">
        <v>0.21167067655775501</v>
      </c>
      <c r="AY9" s="7" t="s">
        <v>52</v>
      </c>
      <c r="AZ9" s="15">
        <v>0.29617383089277283</v>
      </c>
      <c r="BA9" s="15">
        <v>0.22080683089277281</v>
      </c>
      <c r="BB9" s="15">
        <v>0.83642436197255499</v>
      </c>
    </row>
    <row r="10" spans="1:54" x14ac:dyDescent="0.2">
      <c r="A10" s="1" t="s">
        <v>6</v>
      </c>
      <c r="B10" s="15">
        <v>0.17423678332092329</v>
      </c>
      <c r="C10" s="15">
        <v>0.1615713848975848</v>
      </c>
      <c r="D10" s="15">
        <v>0.36363636363636359</v>
      </c>
      <c r="E10" s="15">
        <v>0.20792079207920791</v>
      </c>
      <c r="F10" s="15">
        <v>0.1549429657794677</v>
      </c>
      <c r="G10" s="15">
        <v>0.15540859707132729</v>
      </c>
      <c r="H10" s="15">
        <v>0.166909</v>
      </c>
      <c r="J10" s="1" t="s">
        <v>6</v>
      </c>
      <c r="K10" s="11">
        <f t="shared" si="1"/>
        <v>7.3277833209232923E-3</v>
      </c>
      <c r="L10" s="11">
        <f t="shared" si="2"/>
        <v>-5.3376151024152052E-3</v>
      </c>
      <c r="M10" s="11">
        <f t="shared" si="3"/>
        <v>0.19672736363636359</v>
      </c>
      <c r="N10" s="11">
        <f t="shared" si="4"/>
        <v>4.1011792079207909E-2</v>
      </c>
      <c r="O10" s="11">
        <f t="shared" si="5"/>
        <v>-1.1966034220532301E-2</v>
      </c>
      <c r="P10" s="11">
        <f t="shared" si="6"/>
        <v>-1.1500402928672715E-2</v>
      </c>
      <c r="U10" s="3">
        <v>7</v>
      </c>
      <c r="V10" s="4" t="s">
        <v>6</v>
      </c>
      <c r="W10" s="5">
        <v>0.166909</v>
      </c>
      <c r="X10" s="5">
        <v>0.37290400000000001</v>
      </c>
      <c r="Z10" s="7" t="s">
        <v>104</v>
      </c>
      <c r="AA10" s="15">
        <v>3.2868205510052463E-2</v>
      </c>
      <c r="AB10" s="15">
        <v>3.1232055100524625E-3</v>
      </c>
      <c r="AC10" s="15">
        <v>0.10939040699283606</v>
      </c>
      <c r="AE10" s="7" t="s">
        <v>76</v>
      </c>
      <c r="AF10" s="15">
        <v>8.9880770406603486E-2</v>
      </c>
      <c r="AG10" s="15">
        <v>2.9937770406603482E-2</v>
      </c>
      <c r="AH10" s="15">
        <v>0.12611377373909896</v>
      </c>
      <c r="AJ10" s="7" t="s">
        <v>59</v>
      </c>
      <c r="AK10" s="15">
        <v>0.36363636363636359</v>
      </c>
      <c r="AL10" s="15">
        <v>6.1017363636363564E-2</v>
      </c>
      <c r="AM10" s="15">
        <v>0.13281881841512477</v>
      </c>
      <c r="AO10" s="7" t="s">
        <v>109</v>
      </c>
      <c r="AP10" s="15">
        <v>0.1386138613861386</v>
      </c>
      <c r="AQ10" s="15">
        <v>0.1123228613861386</v>
      </c>
      <c r="AR10" s="15">
        <v>0.70200472107484613</v>
      </c>
      <c r="AT10" s="7" t="s">
        <v>60</v>
      </c>
      <c r="AU10" s="15">
        <v>0.60646387832699622</v>
      </c>
      <c r="AV10" s="15">
        <v>0.1058378783269962</v>
      </c>
      <c r="AW10" s="15">
        <v>0.21167067655775501</v>
      </c>
      <c r="AY10" s="7" t="s">
        <v>59</v>
      </c>
      <c r="AZ10" s="15">
        <v>0.61265942371280113</v>
      </c>
      <c r="BA10" s="15">
        <v>0.31004042371280111</v>
      </c>
      <c r="BB10" s="15">
        <v>0.67487679382329047</v>
      </c>
    </row>
    <row r="11" spans="1:54" x14ac:dyDescent="0.2">
      <c r="A11" s="1" t="s">
        <v>7</v>
      </c>
      <c r="B11" s="15">
        <v>9.9776619508562918E-3</v>
      </c>
      <c r="C11" s="15">
        <v>8.1014980128401096E-3</v>
      </c>
      <c r="D11" s="15">
        <v>6.993006993006993E-3</v>
      </c>
      <c r="E11" s="15">
        <v>9.9009900990099011E-3</v>
      </c>
      <c r="F11" s="15">
        <v>7.3669201520912544E-3</v>
      </c>
      <c r="G11" s="15">
        <v>6.6131317902692489E-3</v>
      </c>
      <c r="H11" s="15">
        <v>8.4130000000000003E-3</v>
      </c>
      <c r="J11" s="1" t="s">
        <v>7</v>
      </c>
      <c r="K11" s="11">
        <f t="shared" si="1"/>
        <v>1.5646619508562915E-3</v>
      </c>
      <c r="L11" s="11">
        <f t="shared" si="2"/>
        <v>-3.1150198715989078E-4</v>
      </c>
      <c r="M11" s="11">
        <f t="shared" si="3"/>
        <v>-1.4199930069930073E-3</v>
      </c>
      <c r="N11" s="11">
        <f t="shared" si="4"/>
        <v>1.4879900990099008E-3</v>
      </c>
      <c r="O11" s="11">
        <f t="shared" si="5"/>
        <v>-1.0460798479087459E-3</v>
      </c>
      <c r="P11" s="11">
        <f t="shared" si="6"/>
        <v>-1.7998682097307515E-3</v>
      </c>
      <c r="U11" s="3">
        <v>8</v>
      </c>
      <c r="V11" s="4" t="s">
        <v>7</v>
      </c>
      <c r="W11" s="5">
        <v>8.4130000000000003E-3</v>
      </c>
      <c r="X11" s="5">
        <v>9.1338000000000003E-2</v>
      </c>
      <c r="Z11" s="7" t="s">
        <v>31</v>
      </c>
      <c r="AA11" s="15">
        <v>0.15591958302308259</v>
      </c>
      <c r="AB11" s="15">
        <v>3.5582583023082592E-2</v>
      </c>
      <c r="AC11" s="15">
        <v>0.10936272109330991</v>
      </c>
      <c r="AE11" s="7" t="s">
        <v>77</v>
      </c>
      <c r="AF11" s="15">
        <v>0.1436869458881076</v>
      </c>
      <c r="AG11" s="15">
        <v>3.7872945888107593E-2</v>
      </c>
      <c r="AH11" s="15">
        <v>0.12312120949168123</v>
      </c>
      <c r="AJ11" s="7" t="s">
        <v>80</v>
      </c>
      <c r="AK11" s="15">
        <v>5.944055944055944E-2</v>
      </c>
      <c r="AL11" s="15">
        <v>2.4035559440559441E-2</v>
      </c>
      <c r="AM11" s="15">
        <v>0.13005832841227796</v>
      </c>
      <c r="AO11" s="7" t="s">
        <v>57</v>
      </c>
      <c r="AP11" s="15">
        <v>0.86138613861386137</v>
      </c>
      <c r="AQ11" s="15">
        <v>0.34348313861386137</v>
      </c>
      <c r="AR11" s="15">
        <v>0.68738970928864451</v>
      </c>
      <c r="AT11" s="7" t="s">
        <v>83</v>
      </c>
      <c r="AU11" s="15">
        <v>2.9467680608365021E-2</v>
      </c>
      <c r="AV11" s="15">
        <v>1.9401680608365023E-2</v>
      </c>
      <c r="AW11" s="15">
        <v>0.19435887770841706</v>
      </c>
      <c r="AY11" s="7" t="s">
        <v>45</v>
      </c>
      <c r="AZ11" s="15">
        <v>0.31790269248937181</v>
      </c>
      <c r="BA11" s="15">
        <v>0.19115669248937181</v>
      </c>
      <c r="BB11" s="15">
        <v>0.57456692572933266</v>
      </c>
    </row>
    <row r="12" spans="1:54" x14ac:dyDescent="0.2">
      <c r="A12" s="1" t="s">
        <v>8</v>
      </c>
      <c r="B12" s="15">
        <v>1.0126582278481009E-2</v>
      </c>
      <c r="C12" s="15">
        <v>1.2534393151941299E-2</v>
      </c>
      <c r="D12" s="15">
        <v>1.3986013986013989E-2</v>
      </c>
      <c r="E12" s="15">
        <v>0</v>
      </c>
      <c r="F12" s="15">
        <v>1.5922053231939161E-2</v>
      </c>
      <c r="G12" s="15">
        <v>1.3698630136986301E-2</v>
      </c>
      <c r="H12" s="15">
        <v>1.2519000000000001E-2</v>
      </c>
      <c r="J12" s="1" t="s">
        <v>8</v>
      </c>
      <c r="K12" s="11">
        <f t="shared" si="1"/>
        <v>-2.3924177215189912E-3</v>
      </c>
      <c r="L12" s="11">
        <f t="shared" si="2"/>
        <v>1.5393151941298783E-5</v>
      </c>
      <c r="M12" s="11">
        <f t="shared" si="3"/>
        <v>1.4670139860139889E-3</v>
      </c>
      <c r="N12" s="11">
        <f t="shared" si="4"/>
        <v>-1.2519000000000001E-2</v>
      </c>
      <c r="O12" s="11">
        <f t="shared" si="5"/>
        <v>3.4030532319391602E-3</v>
      </c>
      <c r="P12" s="11">
        <f t="shared" si="6"/>
        <v>1.1796301369863E-3</v>
      </c>
      <c r="U12" s="3">
        <v>9</v>
      </c>
      <c r="V12" s="4" t="s">
        <v>8</v>
      </c>
      <c r="W12" s="5">
        <v>1.2519000000000001E-2</v>
      </c>
      <c r="X12" s="5">
        <v>0.11119</v>
      </c>
      <c r="Z12" s="7" t="s">
        <v>99</v>
      </c>
      <c r="AA12" s="15">
        <v>0.51377513030528665</v>
      </c>
      <c r="AB12" s="15">
        <v>5.3712130305286654E-2</v>
      </c>
      <c r="AC12" s="15">
        <v>0.10776587844524474</v>
      </c>
      <c r="AE12" s="7" t="s">
        <v>55</v>
      </c>
      <c r="AF12" s="15">
        <v>4.5551819015591563E-2</v>
      </c>
      <c r="AG12" s="15">
        <v>1.7808819015591563E-2</v>
      </c>
      <c r="AH12" s="15">
        <v>0.10843167934480981</v>
      </c>
      <c r="AJ12" s="7" t="s">
        <v>106</v>
      </c>
      <c r="AK12" s="15">
        <v>1.165629370629371</v>
      </c>
      <c r="AL12" s="15">
        <v>0.12134837062937098</v>
      </c>
      <c r="AM12" s="15">
        <v>0.12952419699189327</v>
      </c>
      <c r="AO12" s="7" t="s">
        <v>88</v>
      </c>
      <c r="AP12" s="15">
        <v>0.67326732673267331</v>
      </c>
      <c r="AQ12" s="15">
        <v>0.31721532673267333</v>
      </c>
      <c r="AR12" s="15">
        <v>0.66246207364976273</v>
      </c>
      <c r="AT12" s="7" t="s">
        <v>94</v>
      </c>
      <c r="AU12" s="15">
        <v>0.30679657794676812</v>
      </c>
      <c r="AV12" s="15">
        <v>5.8411577946768128E-2</v>
      </c>
      <c r="AW12" s="15">
        <v>0.13518476127902049</v>
      </c>
      <c r="AY12" s="7" t="s">
        <v>70</v>
      </c>
      <c r="AZ12" s="15">
        <v>9.5890410958904104E-2</v>
      </c>
      <c r="BA12" s="15">
        <v>7.3956410958904109E-2</v>
      </c>
      <c r="BB12" s="15">
        <v>0.50491842098765716</v>
      </c>
    </row>
    <row r="13" spans="1:54" x14ac:dyDescent="0.2">
      <c r="A13" s="1" t="s">
        <v>9</v>
      </c>
      <c r="B13" s="15">
        <v>0.56798212956068506</v>
      </c>
      <c r="C13" s="15">
        <v>0.38902476306939782</v>
      </c>
      <c r="D13" s="15">
        <v>0.48951048951048948</v>
      </c>
      <c r="E13" s="15">
        <v>0.47524752475247523</v>
      </c>
      <c r="F13" s="15">
        <v>0.60646387832699622</v>
      </c>
      <c r="G13" s="15">
        <v>0.42418516769012748</v>
      </c>
      <c r="H13" s="15">
        <v>0.50062600000000002</v>
      </c>
      <c r="J13" s="1" t="s">
        <v>9</v>
      </c>
      <c r="K13" s="11">
        <f t="shared" si="1"/>
        <v>6.7356129560685041E-2</v>
      </c>
      <c r="L13" s="11">
        <f t="shared" si="2"/>
        <v>-0.1116012369306022</v>
      </c>
      <c r="M13" s="11">
        <f t="shared" si="3"/>
        <v>-1.1115510489510538E-2</v>
      </c>
      <c r="N13" s="11">
        <f t="shared" si="4"/>
        <v>-2.537847524752479E-2</v>
      </c>
      <c r="O13" s="11">
        <f t="shared" si="5"/>
        <v>0.1058378783269962</v>
      </c>
      <c r="P13" s="11">
        <f t="shared" si="6"/>
        <v>-7.6440832309872531E-2</v>
      </c>
      <c r="U13" s="3">
        <v>10</v>
      </c>
      <c r="V13" s="4" t="s">
        <v>9</v>
      </c>
      <c r="W13" s="5">
        <v>0.50062600000000002</v>
      </c>
      <c r="X13" s="5">
        <v>0.50001200000000001</v>
      </c>
      <c r="Z13" s="7" t="s">
        <v>10</v>
      </c>
      <c r="AA13" s="15">
        <v>0.51586001489203281</v>
      </c>
      <c r="AB13" s="15">
        <v>4.7284014892032822E-2</v>
      </c>
      <c r="AC13" s="15">
        <v>9.4752987615891862E-2</v>
      </c>
      <c r="AE13" s="7" t="s">
        <v>50</v>
      </c>
      <c r="AF13" s="15">
        <v>0.43855090186487311</v>
      </c>
      <c r="AG13" s="15">
        <v>5.1750901864873133E-2</v>
      </c>
      <c r="AH13" s="15">
        <v>0.10625835805439333</v>
      </c>
      <c r="AJ13" s="7" t="s">
        <v>42</v>
      </c>
      <c r="AK13" s="15">
        <v>0.11888111888111889</v>
      </c>
      <c r="AL13" s="15">
        <v>3.2798118881118887E-2</v>
      </c>
      <c r="AM13" s="15">
        <v>0.11692984121271359</v>
      </c>
      <c r="AO13" s="7" t="s">
        <v>82</v>
      </c>
      <c r="AP13" s="15">
        <v>3.9603960396039598E-2</v>
      </c>
      <c r="AQ13" s="15">
        <v>3.6398960396039598E-2</v>
      </c>
      <c r="AR13" s="15">
        <v>0.64396724158377294</v>
      </c>
      <c r="AT13" s="7" t="s">
        <v>57</v>
      </c>
      <c r="AU13" s="15">
        <v>0.5829372623574145</v>
      </c>
      <c r="AV13" s="15">
        <v>6.5034262357414496E-2</v>
      </c>
      <c r="AW13" s="15">
        <v>0.13014869631175702</v>
      </c>
      <c r="AY13" s="7" t="s">
        <v>49</v>
      </c>
      <c r="AZ13" s="15">
        <v>0.55266887104393014</v>
      </c>
      <c r="BA13" s="15">
        <v>0.19511487104393016</v>
      </c>
      <c r="BB13" s="15">
        <v>0.4070897720886853</v>
      </c>
    </row>
    <row r="14" spans="1:54" x14ac:dyDescent="0.2">
      <c r="A14" s="1" t="s">
        <v>10</v>
      </c>
      <c r="B14" s="15">
        <v>0.51586001489203281</v>
      </c>
      <c r="C14" s="15">
        <v>0.44680525833078572</v>
      </c>
      <c r="D14" s="15">
        <v>0.59440559440559437</v>
      </c>
      <c r="E14" s="15">
        <v>0.54455445544554459</v>
      </c>
      <c r="F14" s="15">
        <v>0.42561787072243351</v>
      </c>
      <c r="G14" s="15">
        <v>0.45063769485120447</v>
      </c>
      <c r="H14" s="15">
        <v>0.46857599999999999</v>
      </c>
      <c r="J14" s="1" t="s">
        <v>10</v>
      </c>
      <c r="K14" s="11">
        <f t="shared" si="1"/>
        <v>4.7284014892032822E-2</v>
      </c>
      <c r="L14" s="11">
        <f t="shared" si="2"/>
        <v>-2.1770741669214277E-2</v>
      </c>
      <c r="M14" s="11">
        <f t="shared" si="3"/>
        <v>0.12582959440559438</v>
      </c>
      <c r="N14" s="11">
        <f t="shared" si="4"/>
        <v>7.5978455445544602E-2</v>
      </c>
      <c r="O14" s="11">
        <f t="shared" si="5"/>
        <v>-4.2958129277566481E-2</v>
      </c>
      <c r="P14" s="11">
        <f t="shared" si="6"/>
        <v>-1.7938305148795519E-2</v>
      </c>
      <c r="U14" s="3">
        <v>11</v>
      </c>
      <c r="V14" s="4" t="s">
        <v>10</v>
      </c>
      <c r="W14" s="5">
        <v>0.46857599999999999</v>
      </c>
      <c r="X14" s="5">
        <v>0.49902400000000002</v>
      </c>
      <c r="Z14" s="7" t="s">
        <v>90</v>
      </c>
      <c r="AA14" s="15">
        <v>0.29977661950856288</v>
      </c>
      <c r="AB14" s="15">
        <v>3.857161950856286E-2</v>
      </c>
      <c r="AC14" s="15">
        <v>8.7802057601747446E-2</v>
      </c>
      <c r="AE14" s="7" t="s">
        <v>93</v>
      </c>
      <c r="AF14" s="15">
        <v>88.539804341179916</v>
      </c>
      <c r="AG14" s="15">
        <v>1.1386073411799202</v>
      </c>
      <c r="AH14" s="15">
        <v>9.30094329859283E-2</v>
      </c>
      <c r="AJ14" s="7" t="s">
        <v>83</v>
      </c>
      <c r="AK14" s="15">
        <v>2.097902097902098E-2</v>
      </c>
      <c r="AL14" s="15">
        <v>1.091302097902098E-2</v>
      </c>
      <c r="AM14" s="15">
        <v>0.10932261759718084</v>
      </c>
      <c r="AO14" s="7" t="s">
        <v>96</v>
      </c>
      <c r="AP14" s="15">
        <v>0.53465346534653468</v>
      </c>
      <c r="AQ14" s="15">
        <v>0.2723974653465347</v>
      </c>
      <c r="AR14" s="15">
        <v>0.61926529841984645</v>
      </c>
      <c r="AT14" s="7" t="s">
        <v>80</v>
      </c>
      <c r="AU14" s="15">
        <v>5.7747148288973392E-2</v>
      </c>
      <c r="AV14" s="15">
        <v>2.2342148288973393E-2</v>
      </c>
      <c r="AW14" s="15">
        <v>0.12089514566071119</v>
      </c>
      <c r="AY14" s="7" t="s">
        <v>69</v>
      </c>
      <c r="AZ14" s="15">
        <v>0.18186112423240439</v>
      </c>
      <c r="BA14" s="15">
        <v>9.7781124232404384E-2</v>
      </c>
      <c r="BB14" s="15">
        <v>0.35234536595284716</v>
      </c>
    </row>
    <row r="15" spans="1:54" x14ac:dyDescent="0.2">
      <c r="A15" s="1" t="s">
        <v>11</v>
      </c>
      <c r="B15" s="15">
        <v>9.4862248696947135E-2</v>
      </c>
      <c r="C15" s="15">
        <v>0.1210638948333843</v>
      </c>
      <c r="D15" s="15">
        <v>8.7412587412587409E-2</v>
      </c>
      <c r="E15" s="15">
        <v>6.9306930693069313E-2</v>
      </c>
      <c r="F15" s="15">
        <v>0.1240494296577947</v>
      </c>
      <c r="G15" s="15">
        <v>0.1110061407652338</v>
      </c>
      <c r="H15" s="15">
        <v>0.111072</v>
      </c>
      <c r="J15" s="1" t="s">
        <v>11</v>
      </c>
      <c r="K15" s="11">
        <f t="shared" si="1"/>
        <v>-1.6209751303052869E-2</v>
      </c>
      <c r="L15" s="11">
        <f t="shared" si="2"/>
        <v>9.9918948333842933E-3</v>
      </c>
      <c r="M15" s="11">
        <f t="shared" si="3"/>
        <v>-2.3659412587412595E-2</v>
      </c>
      <c r="N15" s="11">
        <f t="shared" si="4"/>
        <v>-4.1765069306930691E-2</v>
      </c>
      <c r="O15" s="11">
        <f t="shared" si="5"/>
        <v>1.2977429657794692E-2</v>
      </c>
      <c r="P15" s="11">
        <f t="shared" si="6"/>
        <v>-6.5859234766207919E-5</v>
      </c>
      <c r="U15" s="3">
        <v>12</v>
      </c>
      <c r="V15" s="4" t="s">
        <v>11</v>
      </c>
      <c r="W15" s="5">
        <v>0.111072</v>
      </c>
      <c r="X15" s="5">
        <v>0.31422899999999998</v>
      </c>
      <c r="Z15" s="7" t="s">
        <v>74</v>
      </c>
      <c r="AA15" s="15">
        <v>0.19121370067014151</v>
      </c>
      <c r="AB15" s="15">
        <v>3.0965700670141511E-2</v>
      </c>
      <c r="AC15" s="15">
        <v>8.4410856547428789E-2</v>
      </c>
      <c r="AE15" s="7" t="s">
        <v>53</v>
      </c>
      <c r="AF15" s="15">
        <v>4.9526138795475391E-2</v>
      </c>
      <c r="AG15" s="15">
        <v>1.2168138795475389E-2</v>
      </c>
      <c r="AH15" s="15">
        <v>6.416373374819602E-2</v>
      </c>
      <c r="AJ15" s="7" t="s">
        <v>39</v>
      </c>
      <c r="AK15" s="15">
        <v>0.1118881118881119</v>
      </c>
      <c r="AL15" s="15">
        <v>2.8659111888111904E-2</v>
      </c>
      <c r="AM15" s="15">
        <v>0.10374902488139412</v>
      </c>
      <c r="AO15" s="7" t="s">
        <v>100</v>
      </c>
      <c r="AP15" s="15">
        <v>0.20792079207920791</v>
      </c>
      <c r="AQ15" s="15">
        <v>0.14467279207920791</v>
      </c>
      <c r="AR15" s="15">
        <v>0.59434624850238449</v>
      </c>
      <c r="AT15" s="7" t="s">
        <v>91</v>
      </c>
      <c r="AU15" s="15">
        <v>0.1703897338403042</v>
      </c>
      <c r="AV15" s="15">
        <v>3.6081733840304192E-2</v>
      </c>
      <c r="AW15" s="15">
        <v>0.10581401862889507</v>
      </c>
      <c r="AY15" s="7" t="s">
        <v>13</v>
      </c>
      <c r="AZ15" s="15">
        <v>1.59565422768068</v>
      </c>
      <c r="BA15" s="15">
        <v>0.20825422768068003</v>
      </c>
      <c r="BB15" s="15">
        <v>0.30341261628980165</v>
      </c>
    </row>
    <row r="16" spans="1:54" x14ac:dyDescent="0.2">
      <c r="A16" s="1" t="s">
        <v>12</v>
      </c>
      <c r="B16" s="15">
        <v>0.38927773641102009</v>
      </c>
      <c r="C16" s="15">
        <v>0.43213084683582997</v>
      </c>
      <c r="D16" s="15">
        <v>0.31818181818181818</v>
      </c>
      <c r="E16" s="15">
        <v>0.38613861386138609</v>
      </c>
      <c r="F16" s="15">
        <v>0.45033269961977179</v>
      </c>
      <c r="G16" s="15">
        <v>0.43835616438356162</v>
      </c>
      <c r="H16" s="15">
        <v>0.420352</v>
      </c>
      <c r="J16" s="1" t="s">
        <v>12</v>
      </c>
      <c r="K16" s="11">
        <f t="shared" si="1"/>
        <v>-3.1074263588979911E-2</v>
      </c>
      <c r="L16" s="11">
        <f t="shared" si="2"/>
        <v>1.177884683582997E-2</v>
      </c>
      <c r="M16" s="11">
        <f t="shared" si="3"/>
        <v>-0.10217018181818183</v>
      </c>
      <c r="N16" s="11">
        <f t="shared" si="4"/>
        <v>-3.421338613861391E-2</v>
      </c>
      <c r="O16" s="11">
        <f t="shared" si="5"/>
        <v>2.9980699619771789E-2</v>
      </c>
      <c r="P16" s="11">
        <f t="shared" si="6"/>
        <v>1.8004164383561616E-2</v>
      </c>
      <c r="U16" s="3">
        <v>13</v>
      </c>
      <c r="V16" s="4" t="s">
        <v>12</v>
      </c>
      <c r="W16" s="5">
        <v>0.420352</v>
      </c>
      <c r="X16" s="5">
        <v>0.49362800000000001</v>
      </c>
      <c r="Z16" s="7" t="s">
        <v>77</v>
      </c>
      <c r="AA16" s="15">
        <v>0.12792256142963521</v>
      </c>
      <c r="AB16" s="15">
        <v>2.2108561429635201E-2</v>
      </c>
      <c r="AC16" s="15">
        <v>7.1872751366630794E-2</v>
      </c>
      <c r="AE16" s="7" t="s">
        <v>33</v>
      </c>
      <c r="AF16" s="15">
        <v>0.14292265362274531</v>
      </c>
      <c r="AG16" s="15">
        <v>2.093365362274531E-2</v>
      </c>
      <c r="AH16" s="15">
        <v>6.3962324799622688E-2</v>
      </c>
      <c r="AJ16" s="7" t="s">
        <v>56</v>
      </c>
      <c r="AK16" s="15">
        <v>5.5944055944055937E-2</v>
      </c>
      <c r="AL16" s="15">
        <v>1.8486055944055939E-2</v>
      </c>
      <c r="AM16" s="15">
        <v>9.7353443350515254E-2</v>
      </c>
      <c r="AO16" s="7" t="s">
        <v>73</v>
      </c>
      <c r="AP16" s="15">
        <v>0.38613861386138609</v>
      </c>
      <c r="AQ16" s="15">
        <v>0.1896836138613861</v>
      </c>
      <c r="AR16" s="15">
        <v>0.47740045670654851</v>
      </c>
      <c r="AT16" s="7" t="s">
        <v>85</v>
      </c>
      <c r="AU16" s="15">
        <v>6.1074144486692017E-2</v>
      </c>
      <c r="AV16" s="15">
        <v>2.0611144486692018E-2</v>
      </c>
      <c r="AW16" s="15">
        <v>0.10460014355302044</v>
      </c>
      <c r="AY16" s="7" t="s">
        <v>108</v>
      </c>
      <c r="AZ16" s="15">
        <v>0.1190363722248465</v>
      </c>
      <c r="BA16" s="15">
        <v>5.2733372224846503E-2</v>
      </c>
      <c r="BB16" s="15">
        <v>0.21193637181079469</v>
      </c>
    </row>
    <row r="17" spans="1:54" x14ac:dyDescent="0.2">
      <c r="A17" s="1" t="s">
        <v>13</v>
      </c>
      <c r="B17" s="15">
        <v>1.320774385703648</v>
      </c>
      <c r="C17" s="15">
        <v>1.4078263527973101</v>
      </c>
      <c r="D17" s="15">
        <v>1.4370629370629371</v>
      </c>
      <c r="E17" s="15">
        <v>2.0990099009900991</v>
      </c>
      <c r="F17" s="15">
        <v>1.3367395437262359</v>
      </c>
      <c r="G17" s="15">
        <v>1.59565422768068</v>
      </c>
      <c r="H17" s="15">
        <v>1.3874</v>
      </c>
      <c r="J17" s="1" t="s">
        <v>13</v>
      </c>
      <c r="K17" s="11">
        <f t="shared" si="1"/>
        <v>-6.6625614296351943E-2</v>
      </c>
      <c r="L17" s="11">
        <f t="shared" si="2"/>
        <v>2.0426352797310088E-2</v>
      </c>
      <c r="M17" s="11">
        <f t="shared" si="3"/>
        <v>4.9662937062937118E-2</v>
      </c>
      <c r="N17" s="11">
        <f t="shared" si="4"/>
        <v>0.71160990099009913</v>
      </c>
      <c r="O17" s="11">
        <f t="shared" si="5"/>
        <v>-5.0660456273764032E-2</v>
      </c>
      <c r="P17" s="11">
        <f t="shared" si="6"/>
        <v>0.20825422768068003</v>
      </c>
      <c r="U17" s="3">
        <v>14</v>
      </c>
      <c r="V17" s="4" t="s">
        <v>13</v>
      </c>
      <c r="W17" s="5">
        <v>1.3874</v>
      </c>
      <c r="X17" s="5">
        <v>0.68637300000000001</v>
      </c>
      <c r="Z17" s="7" t="s">
        <v>44</v>
      </c>
      <c r="AA17" s="15">
        <v>0.28056589724497388</v>
      </c>
      <c r="AB17" s="15">
        <v>2.4919897244973899E-2</v>
      </c>
      <c r="AC17" s="15">
        <v>5.7124937808690039E-2</v>
      </c>
      <c r="AE17" s="7" t="s">
        <v>48</v>
      </c>
      <c r="AF17" s="15">
        <v>3.3323142769795172E-2</v>
      </c>
      <c r="AG17" s="15">
        <v>8.6351427697951705E-3</v>
      </c>
      <c r="AH17" s="15">
        <v>5.5647053170219618E-2</v>
      </c>
      <c r="AJ17" s="7" t="s">
        <v>105</v>
      </c>
      <c r="AK17" s="15">
        <v>0.34839160839160832</v>
      </c>
      <c r="AL17" s="15">
        <v>1.6760608391608312E-2</v>
      </c>
      <c r="AM17" s="15">
        <v>8.8966667329867036E-2</v>
      </c>
      <c r="AO17" s="7" t="s">
        <v>99</v>
      </c>
      <c r="AP17" s="15">
        <v>0.6633663366336634</v>
      </c>
      <c r="AQ17" s="15">
        <v>0.2033033366336634</v>
      </c>
      <c r="AR17" s="15">
        <v>0.40789971536503394</v>
      </c>
      <c r="AT17" s="7" t="s">
        <v>54</v>
      </c>
      <c r="AU17" s="15">
        <v>0.1233365019011407</v>
      </c>
      <c r="AV17" s="15">
        <v>2.7037501901140709E-2</v>
      </c>
      <c r="AW17" s="15">
        <v>9.1649752723275246E-2</v>
      </c>
      <c r="AY17" s="7" t="s">
        <v>46</v>
      </c>
      <c r="AZ17" s="15">
        <v>0.20595181861124229</v>
      </c>
      <c r="BA17" s="15">
        <v>7.2144818611242278E-2</v>
      </c>
      <c r="BB17" s="15">
        <v>0.21190768389045886</v>
      </c>
    </row>
    <row r="18" spans="1:54" x14ac:dyDescent="0.2">
      <c r="A18" s="1" t="s">
        <v>14</v>
      </c>
      <c r="B18" s="15">
        <v>0.26612062546537602</v>
      </c>
      <c r="C18" s="15">
        <v>0.267808009782941</v>
      </c>
      <c r="D18" s="15">
        <v>0.24825174825174831</v>
      </c>
      <c r="E18" s="15">
        <v>0.17821782178217821</v>
      </c>
      <c r="F18" s="15">
        <v>0.26164448669201518</v>
      </c>
      <c r="G18" s="15">
        <v>0.23901747756258859</v>
      </c>
      <c r="H18" s="15">
        <v>0.262156</v>
      </c>
      <c r="J18" s="1" t="s">
        <v>14</v>
      </c>
      <c r="K18" s="11">
        <f t="shared" si="1"/>
        <v>3.9646254653760149E-3</v>
      </c>
      <c r="L18" s="11">
        <f t="shared" si="2"/>
        <v>5.6520097829410032E-3</v>
      </c>
      <c r="M18" s="11">
        <f t="shared" si="3"/>
        <v>-1.3904251748251689E-2</v>
      </c>
      <c r="N18" s="11">
        <f t="shared" si="4"/>
        <v>-8.3938178217821791E-2</v>
      </c>
      <c r="O18" s="11">
        <f t="shared" si="5"/>
        <v>-5.1151330798482331E-4</v>
      </c>
      <c r="P18" s="11">
        <f t="shared" si="6"/>
        <v>-2.3138522437411407E-2</v>
      </c>
      <c r="U18" s="3">
        <v>15</v>
      </c>
      <c r="V18" s="4" t="s">
        <v>14</v>
      </c>
      <c r="W18" s="5">
        <v>0.262156</v>
      </c>
      <c r="X18" s="5">
        <v>0.43981799999999999</v>
      </c>
      <c r="Z18" s="7" t="s">
        <v>75</v>
      </c>
      <c r="AA18" s="15">
        <v>0.12330603127326881</v>
      </c>
      <c r="AB18" s="15">
        <v>1.69910312732688E-2</v>
      </c>
      <c r="AC18" s="15">
        <v>5.5121302565689957E-2</v>
      </c>
      <c r="AE18" s="7" t="s">
        <v>79</v>
      </c>
      <c r="AF18" s="15">
        <v>2.2317334148578422E-2</v>
      </c>
      <c r="AG18" s="15">
        <v>6.8433341485784217E-3</v>
      </c>
      <c r="AH18" s="15">
        <v>5.5442588560235449E-2</v>
      </c>
      <c r="AJ18" s="7" t="s">
        <v>1</v>
      </c>
      <c r="AK18" s="15">
        <v>0.1818181818181818</v>
      </c>
      <c r="AL18" s="15">
        <v>3.158518181818179E-2</v>
      </c>
      <c r="AM18" s="15">
        <v>8.8397634024935876E-2</v>
      </c>
      <c r="AO18" s="7" t="s">
        <v>43</v>
      </c>
      <c r="AP18" s="15">
        <v>9.9009900990099015E-2</v>
      </c>
      <c r="AQ18" s="15">
        <v>6.8862900990099007E-2</v>
      </c>
      <c r="AR18" s="15">
        <v>0.40271879873738414</v>
      </c>
      <c r="AT18" s="7" t="s">
        <v>98</v>
      </c>
      <c r="AU18" s="15">
        <v>0.39567490494296581</v>
      </c>
      <c r="AV18" s="15">
        <v>4.3278904942965823E-2</v>
      </c>
      <c r="AW18" s="15">
        <v>9.0593003445396489E-2</v>
      </c>
      <c r="AY18" s="7" t="s">
        <v>96</v>
      </c>
      <c r="AZ18" s="15">
        <v>0.3504959848842702</v>
      </c>
      <c r="BA18" s="15">
        <v>8.8239984884270206E-2</v>
      </c>
      <c r="BB18" s="15">
        <v>0.2006037776541135</v>
      </c>
    </row>
    <row r="19" spans="1:54" x14ac:dyDescent="0.2">
      <c r="A19" s="1" t="s">
        <v>15</v>
      </c>
      <c r="B19" s="15">
        <v>0.38019359642591222</v>
      </c>
      <c r="C19" s="15">
        <v>0.39284622439620909</v>
      </c>
      <c r="D19" s="15">
        <v>0.38811188811188813</v>
      </c>
      <c r="E19" s="15">
        <v>0.32673267326732669</v>
      </c>
      <c r="F19" s="15">
        <v>0.39401140684410652</v>
      </c>
      <c r="G19" s="15">
        <v>0.35710911667453937</v>
      </c>
      <c r="H19" s="15">
        <v>0.38464599999999999</v>
      </c>
      <c r="J19" s="1" t="s">
        <v>15</v>
      </c>
      <c r="K19" s="11">
        <f t="shared" si="1"/>
        <v>-4.452403574087771E-3</v>
      </c>
      <c r="L19" s="11">
        <f t="shared" si="2"/>
        <v>8.2002243962090993E-3</v>
      </c>
      <c r="M19" s="11">
        <f t="shared" si="3"/>
        <v>3.4658881118881379E-3</v>
      </c>
      <c r="N19" s="11">
        <f t="shared" si="4"/>
        <v>-5.7913326732673298E-2</v>
      </c>
      <c r="O19" s="11">
        <f t="shared" si="5"/>
        <v>9.3654068441065275E-3</v>
      </c>
      <c r="P19" s="11">
        <f t="shared" si="6"/>
        <v>-2.7536883325460615E-2</v>
      </c>
      <c r="U19" s="3">
        <v>16</v>
      </c>
      <c r="V19" s="4" t="s">
        <v>15</v>
      </c>
      <c r="W19" s="5">
        <v>0.38464599999999999</v>
      </c>
      <c r="X19" s="5">
        <v>0.48652400000000001</v>
      </c>
      <c r="Z19" s="7" t="s">
        <v>29</v>
      </c>
      <c r="AA19" s="15">
        <v>0.3663440059568131</v>
      </c>
      <c r="AB19" s="15">
        <v>1.8054005956813113E-2</v>
      </c>
      <c r="AC19" s="15">
        <v>3.789355628581377E-2</v>
      </c>
      <c r="AE19" s="7" t="s">
        <v>86</v>
      </c>
      <c r="AF19" s="15">
        <v>0.13099969428309391</v>
      </c>
      <c r="AG19" s="15">
        <v>1.7373694283093905E-2</v>
      </c>
      <c r="AH19" s="15">
        <v>5.4743573749764164E-2</v>
      </c>
      <c r="AJ19" s="7" t="s">
        <v>52</v>
      </c>
      <c r="AK19" s="15">
        <v>9.7902097902097904E-2</v>
      </c>
      <c r="AL19" s="15">
        <v>2.25350979020979E-2</v>
      </c>
      <c r="AM19" s="15">
        <v>8.5363776150134671E-2</v>
      </c>
      <c r="AO19" s="7" t="s">
        <v>93</v>
      </c>
      <c r="AP19" s="15">
        <v>92.042574257425699</v>
      </c>
      <c r="AQ19" s="15">
        <v>4.6413772574257024</v>
      </c>
      <c r="AR19" s="15">
        <v>0.37914024560880866</v>
      </c>
      <c r="AT19" s="7" t="s">
        <v>50</v>
      </c>
      <c r="AU19" s="15">
        <v>0.42229087452471481</v>
      </c>
      <c r="AV19" s="15">
        <v>3.5490874524714833E-2</v>
      </c>
      <c r="AW19" s="15">
        <v>7.2872199652823211E-2</v>
      </c>
      <c r="AY19" s="7" t="s">
        <v>51</v>
      </c>
      <c r="AZ19" s="15">
        <v>0.25507794048181393</v>
      </c>
      <c r="BA19" s="15">
        <v>7.5599940481813926E-2</v>
      </c>
      <c r="BB19" s="15">
        <v>0.19699694206777618</v>
      </c>
    </row>
    <row r="20" spans="1:54" x14ac:dyDescent="0.2">
      <c r="A20" s="1" t="s">
        <v>16</v>
      </c>
      <c r="B20" s="15">
        <v>0.1061801935964259</v>
      </c>
      <c r="C20" s="15">
        <v>0.1238153469886885</v>
      </c>
      <c r="D20" s="15">
        <v>9.7902097902097904E-2</v>
      </c>
      <c r="E20" s="15">
        <v>0.12871287128712869</v>
      </c>
      <c r="F20" s="15">
        <v>0.1081273764258555</v>
      </c>
      <c r="G20" s="15">
        <v>0.1053377420878602</v>
      </c>
      <c r="H20" s="15">
        <v>0.112274</v>
      </c>
      <c r="J20" s="1" t="s">
        <v>16</v>
      </c>
      <c r="K20" s="11">
        <f t="shared" si="1"/>
        <v>-6.093806403574098E-3</v>
      </c>
      <c r="L20" s="11">
        <f t="shared" si="2"/>
        <v>1.15413469886885E-2</v>
      </c>
      <c r="M20" s="11">
        <f t="shared" si="3"/>
        <v>-1.4371902097902095E-2</v>
      </c>
      <c r="N20" s="11">
        <f t="shared" si="4"/>
        <v>1.643887128712869E-2</v>
      </c>
      <c r="O20" s="11">
        <f t="shared" si="5"/>
        <v>-4.1466235741444979E-3</v>
      </c>
      <c r="P20" s="11">
        <f t="shared" si="6"/>
        <v>-6.9362579121397955E-3</v>
      </c>
      <c r="U20" s="3">
        <v>17</v>
      </c>
      <c r="V20" s="4" t="s">
        <v>16</v>
      </c>
      <c r="W20" s="5">
        <v>0.112274</v>
      </c>
      <c r="X20" s="5">
        <v>0.31571100000000002</v>
      </c>
      <c r="Z20" s="7" t="s">
        <v>88</v>
      </c>
      <c r="AA20" s="15">
        <v>0.3740878629932986</v>
      </c>
      <c r="AB20" s="15">
        <v>1.8035862993298624E-2</v>
      </c>
      <c r="AC20" s="15">
        <v>3.7665504128281339E-2</v>
      </c>
      <c r="AE20" s="7" t="s">
        <v>94</v>
      </c>
      <c r="AF20" s="15">
        <v>0.27162947110975239</v>
      </c>
      <c r="AG20" s="15">
        <v>2.324447110975239E-2</v>
      </c>
      <c r="AH20" s="15">
        <v>5.3795812208542237E-2</v>
      </c>
      <c r="AJ20" s="7" t="s">
        <v>17</v>
      </c>
      <c r="AK20" s="15">
        <v>0.14335664335664339</v>
      </c>
      <c r="AL20" s="15">
        <v>2.7326643356643393E-2</v>
      </c>
      <c r="AM20" s="15">
        <v>8.5324034972611748E-2</v>
      </c>
      <c r="AO20" s="7" t="s">
        <v>76</v>
      </c>
      <c r="AP20" s="15">
        <v>0.1386138613861386</v>
      </c>
      <c r="AQ20" s="15">
        <v>7.8670861386138602E-2</v>
      </c>
      <c r="AR20" s="15">
        <v>0.33140341040637694</v>
      </c>
      <c r="AT20" s="7" t="s">
        <v>92</v>
      </c>
      <c r="AU20" s="15">
        <v>2.0199619771863121E-2</v>
      </c>
      <c r="AV20" s="15">
        <v>7.2296197718631199E-3</v>
      </c>
      <c r="AW20" s="15">
        <v>6.389525021973981E-2</v>
      </c>
      <c r="AY20" s="7" t="s">
        <v>24</v>
      </c>
      <c r="AZ20" s="15">
        <v>6.7076051015588098E-2</v>
      </c>
      <c r="BA20" s="15">
        <v>3.3975051015588099E-2</v>
      </c>
      <c r="BB20" s="15">
        <v>0.18990448065234311</v>
      </c>
    </row>
    <row r="21" spans="1:54" x14ac:dyDescent="0.2">
      <c r="A21" s="1" t="s">
        <v>17</v>
      </c>
      <c r="B21" s="15">
        <v>0.1213700670141474</v>
      </c>
      <c r="C21" s="15">
        <v>0.11143381228981961</v>
      </c>
      <c r="D21" s="15">
        <v>0.14335664335664339</v>
      </c>
      <c r="E21" s="15">
        <v>7.9207920792079209E-2</v>
      </c>
      <c r="F21" s="15">
        <v>0.1188212927756654</v>
      </c>
      <c r="G21" s="15">
        <v>0.105810108644308</v>
      </c>
      <c r="H21" s="15">
        <v>0.11602999999999999</v>
      </c>
      <c r="J21" s="1" t="s">
        <v>17</v>
      </c>
      <c r="K21" s="11">
        <f t="shared" si="1"/>
        <v>5.3400670141474094E-3</v>
      </c>
      <c r="L21" s="11">
        <f t="shared" si="2"/>
        <v>-4.5961877101803883E-3</v>
      </c>
      <c r="M21" s="11">
        <f t="shared" si="3"/>
        <v>2.7326643356643393E-2</v>
      </c>
      <c r="N21" s="11">
        <f t="shared" si="4"/>
        <v>-3.6822079207920785E-2</v>
      </c>
      <c r="O21" s="11">
        <f t="shared" si="5"/>
        <v>2.7912927756654077E-3</v>
      </c>
      <c r="P21" s="11">
        <f t="shared" si="6"/>
        <v>-1.0219891355691998E-2</v>
      </c>
      <c r="U21" s="3">
        <v>18</v>
      </c>
      <c r="V21" s="4" t="s">
        <v>17</v>
      </c>
      <c r="W21" s="5">
        <v>0.11602999999999999</v>
      </c>
      <c r="X21" s="5">
        <v>0.32026900000000003</v>
      </c>
      <c r="Z21" s="7" t="s">
        <v>63</v>
      </c>
      <c r="AA21" s="15">
        <v>0.1243484735666418</v>
      </c>
      <c r="AB21" s="15">
        <v>1.1824473566641805E-2</v>
      </c>
      <c r="AC21" s="15">
        <v>3.7417088794441472E-2</v>
      </c>
      <c r="AE21" s="7" t="s">
        <v>42</v>
      </c>
      <c r="AF21" s="15">
        <v>0.10088657902782019</v>
      </c>
      <c r="AG21" s="15">
        <v>1.4803579027820188E-2</v>
      </c>
      <c r="AH21" s="15">
        <v>5.2776811724386925E-2</v>
      </c>
      <c r="AJ21" s="7" t="s">
        <v>62</v>
      </c>
      <c r="AK21" s="15">
        <v>0.1293706293706294</v>
      </c>
      <c r="AL21" s="15">
        <v>2.5910629370629407E-2</v>
      </c>
      <c r="AM21" s="15">
        <v>8.5073659886426983E-2</v>
      </c>
      <c r="AO21" s="7" t="s">
        <v>68</v>
      </c>
      <c r="AP21" s="15">
        <v>0.21782178217821779</v>
      </c>
      <c r="AQ21" s="15">
        <v>0.10114078217821779</v>
      </c>
      <c r="AR21" s="15">
        <v>0.31503321054240419</v>
      </c>
      <c r="AT21" s="7" t="s">
        <v>12</v>
      </c>
      <c r="AU21" s="15">
        <v>0.45033269961977179</v>
      </c>
      <c r="AV21" s="15">
        <v>2.9980699619771789E-2</v>
      </c>
      <c r="AW21" s="15">
        <v>6.07354113214238E-2</v>
      </c>
      <c r="AY21" s="7" t="s">
        <v>100</v>
      </c>
      <c r="AZ21" s="15">
        <v>0.10864430798299481</v>
      </c>
      <c r="BA21" s="15">
        <v>4.5396307982994807E-2</v>
      </c>
      <c r="BB21" s="15">
        <v>0.18649757814019188</v>
      </c>
    </row>
    <row r="22" spans="1:54" x14ac:dyDescent="0.2">
      <c r="A22" s="1" t="s">
        <v>18</v>
      </c>
      <c r="B22" s="15">
        <v>0.109307520476545</v>
      </c>
      <c r="C22" s="15">
        <v>0.1164781412412106</v>
      </c>
      <c r="D22" s="15">
        <v>0.1293706293706294</v>
      </c>
      <c r="E22" s="15">
        <v>0.1386138613861386</v>
      </c>
      <c r="F22" s="15">
        <v>0.1164448669201521</v>
      </c>
      <c r="G22" s="15">
        <v>0.10769957487009919</v>
      </c>
      <c r="H22" s="15">
        <v>0.113426</v>
      </c>
      <c r="J22" s="1" t="s">
        <v>18</v>
      </c>
      <c r="K22" s="11">
        <f t="shared" si="1"/>
        <v>-4.1184795234549959E-3</v>
      </c>
      <c r="L22" s="11">
        <f t="shared" si="2"/>
        <v>3.0521412412106014E-3</v>
      </c>
      <c r="M22" s="11">
        <f t="shared" si="3"/>
        <v>1.5944629370629404E-2</v>
      </c>
      <c r="N22" s="11">
        <f t="shared" si="4"/>
        <v>2.5187861386138599E-2</v>
      </c>
      <c r="O22" s="11">
        <f t="shared" si="5"/>
        <v>3.0188669201521023E-3</v>
      </c>
      <c r="P22" s="11">
        <f t="shared" si="6"/>
        <v>-5.7264251299008057E-3</v>
      </c>
      <c r="U22" s="3">
        <v>19</v>
      </c>
      <c r="V22" s="4" t="s">
        <v>18</v>
      </c>
      <c r="W22" s="5">
        <v>0.113426</v>
      </c>
      <c r="X22" s="5">
        <v>0.31712099999999999</v>
      </c>
      <c r="Z22" s="7" t="s">
        <v>20</v>
      </c>
      <c r="AA22" s="15">
        <v>0.12926284437825761</v>
      </c>
      <c r="AB22" s="15">
        <v>1.1530844378257604E-2</v>
      </c>
      <c r="AC22" s="15">
        <v>3.5776854344126433E-2</v>
      </c>
      <c r="AE22" s="7" t="s">
        <v>75</v>
      </c>
      <c r="AF22" s="15">
        <v>0.12152247019260171</v>
      </c>
      <c r="AG22" s="15">
        <v>1.5207470192601699E-2</v>
      </c>
      <c r="AH22" s="15">
        <v>4.9335178793055261E-2</v>
      </c>
      <c r="AJ22" s="7" t="s">
        <v>61</v>
      </c>
      <c r="AK22" s="15">
        <v>0.13286713286713289</v>
      </c>
      <c r="AL22" s="15">
        <v>2.3497132867132897E-2</v>
      </c>
      <c r="AM22" s="15">
        <v>7.5284780580990349E-2</v>
      </c>
      <c r="AO22" s="7" t="s">
        <v>50</v>
      </c>
      <c r="AP22" s="15">
        <v>0.53465346534653468</v>
      </c>
      <c r="AQ22" s="15">
        <v>0.14785346534653471</v>
      </c>
      <c r="AR22" s="15">
        <v>0.30358246705336789</v>
      </c>
      <c r="AT22" s="7" t="s">
        <v>86</v>
      </c>
      <c r="AU22" s="15">
        <v>0.1326045627376426</v>
      </c>
      <c r="AV22" s="15">
        <v>1.897856273764259E-2</v>
      </c>
      <c r="AW22" s="15">
        <v>5.9800427701991683E-2</v>
      </c>
      <c r="AY22" s="7" t="s">
        <v>93</v>
      </c>
      <c r="AZ22" s="15">
        <v>89.342465753424534</v>
      </c>
      <c r="BA22" s="15">
        <v>1.9412687534245379</v>
      </c>
      <c r="BB22" s="15">
        <v>0.15857644641761096</v>
      </c>
    </row>
    <row r="23" spans="1:54" x14ac:dyDescent="0.2">
      <c r="A23" s="1" t="s">
        <v>19</v>
      </c>
      <c r="B23" s="15">
        <v>0.118391660461653</v>
      </c>
      <c r="C23" s="15">
        <v>0.1224396209110364</v>
      </c>
      <c r="D23" s="15">
        <v>8.3916083916083919E-2</v>
      </c>
      <c r="E23" s="15">
        <v>8.9108910891089105E-2</v>
      </c>
      <c r="F23" s="15">
        <v>0.1266634980988593</v>
      </c>
      <c r="G23" s="15">
        <v>0.13367973547472839</v>
      </c>
      <c r="H23" s="15">
        <v>0.12243999999999999</v>
      </c>
      <c r="J23" s="1" t="s">
        <v>19</v>
      </c>
      <c r="K23" s="11">
        <f t="shared" si="1"/>
        <v>-4.04833953834699E-3</v>
      </c>
      <c r="L23" s="11">
        <f t="shared" si="2"/>
        <v>-3.7908896359517552E-7</v>
      </c>
      <c r="M23" s="11">
        <f t="shared" si="3"/>
        <v>-3.8523916083916074E-2</v>
      </c>
      <c r="N23" s="11">
        <f t="shared" si="4"/>
        <v>-3.3331089108910888E-2</v>
      </c>
      <c r="O23" s="11">
        <f t="shared" si="5"/>
        <v>4.2234980988593018E-3</v>
      </c>
      <c r="P23" s="11">
        <f t="shared" si="6"/>
        <v>1.1239735474728396E-2</v>
      </c>
      <c r="U23" s="3">
        <v>20</v>
      </c>
      <c r="V23" s="4" t="s">
        <v>19</v>
      </c>
      <c r="W23" s="5">
        <v>0.12243999999999999</v>
      </c>
      <c r="X23" s="5">
        <v>0.32780100000000001</v>
      </c>
      <c r="Z23" s="7" t="s">
        <v>65</v>
      </c>
      <c r="AA23" s="15">
        <v>0.1206254653760238</v>
      </c>
      <c r="AB23" s="15">
        <v>1.1005465376023801E-2</v>
      </c>
      <c r="AC23" s="15">
        <v>3.5226168931300837E-2</v>
      </c>
      <c r="AE23" s="7" t="s">
        <v>43</v>
      </c>
      <c r="AF23" s="15">
        <v>3.7908896361968807E-2</v>
      </c>
      <c r="AG23" s="15">
        <v>7.7618963619688064E-3</v>
      </c>
      <c r="AH23" s="15">
        <v>4.5392534062217056E-2</v>
      </c>
      <c r="AJ23" s="7" t="s">
        <v>13</v>
      </c>
      <c r="AK23" s="15">
        <v>1.4370629370629371</v>
      </c>
      <c r="AL23" s="15">
        <v>4.9662937062937118E-2</v>
      </c>
      <c r="AM23" s="15">
        <v>7.2355609942315796E-2</v>
      </c>
      <c r="AO23" s="7" t="s">
        <v>69</v>
      </c>
      <c r="AP23" s="15">
        <v>0.1683168316831683</v>
      </c>
      <c r="AQ23" s="15">
        <v>8.4236831683168298E-2</v>
      </c>
      <c r="AR23" s="15">
        <v>0.3035397426559584</v>
      </c>
      <c r="AT23" s="7" t="s">
        <v>101</v>
      </c>
      <c r="AU23" s="15">
        <v>1.164448669201521E-2</v>
      </c>
      <c r="AV23" s="15">
        <v>4.7834866920152099E-3</v>
      </c>
      <c r="AW23" s="15">
        <v>5.7949345722569358E-2</v>
      </c>
      <c r="AY23" s="7" t="s">
        <v>68</v>
      </c>
      <c r="AZ23" s="15">
        <v>0.16532829475673119</v>
      </c>
      <c r="BA23" s="15">
        <v>4.8647294756731185E-2</v>
      </c>
      <c r="BB23" s="15">
        <v>0.15152654667442622</v>
      </c>
    </row>
    <row r="24" spans="1:54" x14ac:dyDescent="0.2">
      <c r="A24" s="1" t="s">
        <v>20</v>
      </c>
      <c r="B24" s="15">
        <v>0.12926284437825761</v>
      </c>
      <c r="C24" s="15">
        <v>0.1112809538367472</v>
      </c>
      <c r="D24" s="15">
        <v>0.12587412587412589</v>
      </c>
      <c r="E24" s="15">
        <v>6.9306930693069313E-2</v>
      </c>
      <c r="F24" s="15">
        <v>0.11834600760456269</v>
      </c>
      <c r="G24" s="15">
        <v>0.1010864430798299</v>
      </c>
      <c r="H24" s="15">
        <v>0.117732</v>
      </c>
      <c r="J24" s="1" t="s">
        <v>20</v>
      </c>
      <c r="K24" s="11">
        <f t="shared" si="1"/>
        <v>1.1530844378257604E-2</v>
      </c>
      <c r="L24" s="11">
        <f t="shared" si="2"/>
        <v>-6.4510461632528021E-3</v>
      </c>
      <c r="M24" s="11">
        <f t="shared" si="3"/>
        <v>8.1421258741258828E-3</v>
      </c>
      <c r="N24" s="11">
        <f t="shared" si="4"/>
        <v>-4.842506930693069E-2</v>
      </c>
      <c r="O24" s="11">
        <f t="shared" si="5"/>
        <v>6.1400760456269132E-4</v>
      </c>
      <c r="P24" s="11">
        <f t="shared" si="6"/>
        <v>-1.6645556920170099E-2</v>
      </c>
      <c r="U24" s="3">
        <v>21</v>
      </c>
      <c r="V24" s="4" t="s">
        <v>20</v>
      </c>
      <c r="W24" s="5">
        <v>0.117732</v>
      </c>
      <c r="X24" s="5">
        <v>0.322299</v>
      </c>
      <c r="Z24" s="7" t="s">
        <v>62</v>
      </c>
      <c r="AA24" s="15">
        <v>0.1139240506329114</v>
      </c>
      <c r="AB24" s="15">
        <v>1.0464050632911406E-2</v>
      </c>
      <c r="AC24" s="15">
        <v>3.4357138603037782E-2</v>
      </c>
      <c r="AE24" s="7" t="s">
        <v>41</v>
      </c>
      <c r="AF24" s="15">
        <v>0.16218281870987469</v>
      </c>
      <c r="AG24" s="15">
        <v>1.5805818709874686E-2</v>
      </c>
      <c r="AH24" s="15">
        <v>4.4713243854545032E-2</v>
      </c>
      <c r="AJ24" s="7" t="s">
        <v>82</v>
      </c>
      <c r="AK24" s="15">
        <v>6.993006993006993E-3</v>
      </c>
      <c r="AL24" s="15">
        <v>3.7880069930069931E-3</v>
      </c>
      <c r="AM24" s="15">
        <v>6.7017090264263987E-2</v>
      </c>
      <c r="AO24" s="7" t="s">
        <v>67</v>
      </c>
      <c r="AP24" s="15">
        <v>0.21782178217821779</v>
      </c>
      <c r="AQ24" s="15">
        <v>9.803578217821779E-2</v>
      </c>
      <c r="AR24" s="15">
        <v>0.30190959623002595</v>
      </c>
      <c r="AT24" s="7" t="s">
        <v>93</v>
      </c>
      <c r="AU24" s="15">
        <v>88.021815589353594</v>
      </c>
      <c r="AV24" s="15">
        <v>0.62061858935359737</v>
      </c>
      <c r="AW24" s="15">
        <v>5.0696478942852209E-2</v>
      </c>
      <c r="AY24" s="7" t="s">
        <v>27</v>
      </c>
      <c r="AZ24" s="15">
        <v>0.13084553613604161</v>
      </c>
      <c r="BA24" s="15">
        <v>4.095653613604161E-2</v>
      </c>
      <c r="BB24" s="15">
        <v>0.14318965191078423</v>
      </c>
    </row>
    <row r="25" spans="1:54" x14ac:dyDescent="0.2">
      <c r="A25" s="1" t="s">
        <v>21</v>
      </c>
      <c r="B25" s="15">
        <v>5.212211466865227E-2</v>
      </c>
      <c r="C25" s="15">
        <v>5.8544787526750228E-2</v>
      </c>
      <c r="D25" s="15">
        <v>6.6433566433566432E-2</v>
      </c>
      <c r="E25" s="15">
        <v>5.9405940594059403E-2</v>
      </c>
      <c r="F25" s="15">
        <v>5.7271863117870719E-2</v>
      </c>
      <c r="G25" s="15">
        <v>6.3769485120453467E-2</v>
      </c>
      <c r="H25" s="15">
        <v>5.6787999999999998E-2</v>
      </c>
      <c r="J25" s="1" t="s">
        <v>21</v>
      </c>
      <c r="K25" s="11">
        <f t="shared" si="1"/>
        <v>-4.6658853313477286E-3</v>
      </c>
      <c r="L25" s="11">
        <f t="shared" si="2"/>
        <v>1.7567875267502295E-3</v>
      </c>
      <c r="M25" s="11">
        <f t="shared" si="3"/>
        <v>9.645566433566434E-3</v>
      </c>
      <c r="N25" s="11">
        <f t="shared" si="4"/>
        <v>2.617940594059405E-3</v>
      </c>
      <c r="O25" s="11">
        <f t="shared" si="5"/>
        <v>4.8386311787072117E-4</v>
      </c>
      <c r="P25" s="11">
        <f t="shared" si="6"/>
        <v>6.9814851204534692E-3</v>
      </c>
      <c r="U25" s="3">
        <v>22</v>
      </c>
      <c r="V25" s="4" t="s">
        <v>21</v>
      </c>
      <c r="W25" s="5">
        <v>5.6787999999999998E-2</v>
      </c>
      <c r="X25" s="5">
        <v>0.23144300000000001</v>
      </c>
      <c r="Z25" s="7" t="s">
        <v>73</v>
      </c>
      <c r="AA25" s="15">
        <v>0.209084139985108</v>
      </c>
      <c r="AB25" s="15">
        <v>1.2629139985108007E-2</v>
      </c>
      <c r="AC25" s="15">
        <v>3.1785334926755372E-2</v>
      </c>
      <c r="AE25" s="7" t="s">
        <v>97</v>
      </c>
      <c r="AF25" s="15">
        <v>0.11540813206970341</v>
      </c>
      <c r="AG25" s="15">
        <v>1.2348132069703407E-2</v>
      </c>
      <c r="AH25" s="15">
        <v>4.0612843722815394E-2</v>
      </c>
      <c r="AJ25" s="7" t="s">
        <v>32</v>
      </c>
      <c r="AK25" s="15">
        <v>0.1398601398601399</v>
      </c>
      <c r="AL25" s="15">
        <v>2.1326139860139898E-2</v>
      </c>
      <c r="AM25" s="15">
        <v>6.5974749526337126E-2</v>
      </c>
      <c r="AO25" s="7" t="s">
        <v>26</v>
      </c>
      <c r="AP25" s="15">
        <v>0.1683168316831683</v>
      </c>
      <c r="AQ25" s="15">
        <v>7.9078831683168302E-2</v>
      </c>
      <c r="AR25" s="15">
        <v>0.27737712581128504</v>
      </c>
      <c r="AT25" s="7" t="s">
        <v>97</v>
      </c>
      <c r="AU25" s="15">
        <v>0.11834600760456269</v>
      </c>
      <c r="AV25" s="15">
        <v>1.5286007604562696E-2</v>
      </c>
      <c r="AW25" s="15">
        <v>5.0275477658118684E-2</v>
      </c>
      <c r="AY25" s="7" t="s">
        <v>73</v>
      </c>
      <c r="AZ25" s="15">
        <v>0.23334907888521489</v>
      </c>
      <c r="BA25" s="15">
        <v>3.6894078885214898E-2</v>
      </c>
      <c r="BB25" s="15">
        <v>9.2855939166364393E-2</v>
      </c>
    </row>
    <row r="26" spans="1:54" x14ac:dyDescent="0.2">
      <c r="A26" s="1" t="s">
        <v>22</v>
      </c>
      <c r="B26" s="15">
        <v>0.11898734177215189</v>
      </c>
      <c r="C26" s="15">
        <v>0.1180067257719352</v>
      </c>
      <c r="D26" s="15">
        <v>0.1153846153846154</v>
      </c>
      <c r="E26" s="15">
        <v>0.12871287128712869</v>
      </c>
      <c r="F26" s="15">
        <v>0.1204847908745247</v>
      </c>
      <c r="G26" s="15">
        <v>0.1010864430798299</v>
      </c>
      <c r="H26" s="15">
        <v>0.117081</v>
      </c>
      <c r="J26" s="1" t="s">
        <v>22</v>
      </c>
      <c r="K26" s="11">
        <f t="shared" si="1"/>
        <v>1.9063417721518899E-3</v>
      </c>
      <c r="L26" s="11">
        <f t="shared" si="2"/>
        <v>9.2572577193519856E-4</v>
      </c>
      <c r="M26" s="11">
        <f t="shared" si="3"/>
        <v>-1.6963846153845996E-3</v>
      </c>
      <c r="N26" s="11">
        <f t="shared" si="4"/>
        <v>1.1631871287128684E-2</v>
      </c>
      <c r="O26" s="11">
        <f t="shared" si="5"/>
        <v>3.4037908745246925E-3</v>
      </c>
      <c r="P26" s="11">
        <f t="shared" si="6"/>
        <v>-1.59945569201701E-2</v>
      </c>
      <c r="U26" s="3">
        <v>23</v>
      </c>
      <c r="V26" s="4" t="s">
        <v>22</v>
      </c>
      <c r="W26" s="5">
        <v>0.117081</v>
      </c>
      <c r="X26" s="5">
        <v>0.32152500000000001</v>
      </c>
      <c r="Z26" s="7" t="s">
        <v>35</v>
      </c>
      <c r="AA26" s="15">
        <v>0.1244973938942666</v>
      </c>
      <c r="AB26" s="15">
        <v>9.5693938942666007E-3</v>
      </c>
      <c r="AC26" s="15">
        <v>3.0003461102035792E-2</v>
      </c>
      <c r="AE26" s="7" t="s">
        <v>40</v>
      </c>
      <c r="AF26" s="15">
        <v>0.13757260776520941</v>
      </c>
      <c r="AG26" s="15">
        <v>1.3380607765209412E-2</v>
      </c>
      <c r="AH26" s="15">
        <v>4.0570778132826613E-2</v>
      </c>
      <c r="AJ26" s="7" t="s">
        <v>55</v>
      </c>
      <c r="AK26" s="15">
        <v>3.8461538461538457E-2</v>
      </c>
      <c r="AL26" s="15">
        <v>1.0718538461538456E-2</v>
      </c>
      <c r="AM26" s="15">
        <v>6.5261437296264352E-2</v>
      </c>
      <c r="AO26" s="7" t="s">
        <v>79</v>
      </c>
      <c r="AP26" s="15">
        <v>4.9504950495049507E-2</v>
      </c>
      <c r="AQ26" s="15">
        <v>3.4030950495049506E-2</v>
      </c>
      <c r="AR26" s="15">
        <v>0.2757082944726163</v>
      </c>
      <c r="AT26" s="7" t="s">
        <v>56</v>
      </c>
      <c r="AU26" s="15">
        <v>4.5865019011406841E-2</v>
      </c>
      <c r="AV26" s="15">
        <v>8.4070190114068424E-3</v>
      </c>
      <c r="AW26" s="15">
        <v>4.4274032900829145E-2</v>
      </c>
      <c r="AY26" s="7" t="s">
        <v>53</v>
      </c>
      <c r="AZ26" s="15">
        <v>5.3377420878601797E-2</v>
      </c>
      <c r="BA26" s="15">
        <v>1.6019420878601795E-2</v>
      </c>
      <c r="BB26" s="15">
        <v>8.4471904317618432E-2</v>
      </c>
    </row>
    <row r="27" spans="1:54" x14ac:dyDescent="0.2">
      <c r="A27" s="1" t="s">
        <v>23</v>
      </c>
      <c r="B27" s="15">
        <v>8.9352196574832461E-3</v>
      </c>
      <c r="C27" s="15">
        <v>7.4900642005502902E-3</v>
      </c>
      <c r="D27" s="15">
        <v>2.097902097902098E-2</v>
      </c>
      <c r="E27" s="15">
        <v>1.9801980198019799E-2</v>
      </c>
      <c r="F27" s="15">
        <v>7.6045627376425864E-3</v>
      </c>
      <c r="G27" s="15">
        <v>8.9749645725082667E-3</v>
      </c>
      <c r="H27" s="15">
        <v>8.4130000000000003E-3</v>
      </c>
      <c r="J27" s="1" t="s">
        <v>23</v>
      </c>
      <c r="K27" s="11">
        <f t="shared" si="1"/>
        <v>5.2221965748324578E-4</v>
      </c>
      <c r="L27" s="11">
        <f t="shared" si="2"/>
        <v>-9.2293579944971015E-4</v>
      </c>
      <c r="M27" s="11">
        <f t="shared" si="3"/>
        <v>1.256602097902098E-2</v>
      </c>
      <c r="N27" s="11">
        <f t="shared" si="4"/>
        <v>1.1388980198019798E-2</v>
      </c>
      <c r="O27" s="11">
        <f t="shared" si="5"/>
        <v>-8.0843726235741396E-4</v>
      </c>
      <c r="P27" s="11">
        <f t="shared" si="6"/>
        <v>5.6196457250826636E-4</v>
      </c>
      <c r="U27" s="3">
        <v>24</v>
      </c>
      <c r="V27" s="4" t="s">
        <v>23</v>
      </c>
      <c r="W27" s="5">
        <v>8.4130000000000003E-3</v>
      </c>
      <c r="X27" s="5">
        <v>9.1338000000000003E-2</v>
      </c>
      <c r="Z27" s="7" t="s">
        <v>61</v>
      </c>
      <c r="AA27" s="15">
        <v>0.11854058078927771</v>
      </c>
      <c r="AB27" s="15">
        <v>9.1705807892777103E-3</v>
      </c>
      <c r="AC27" s="15">
        <v>2.9382527920533499E-2</v>
      </c>
      <c r="AE27" s="7" t="s">
        <v>96</v>
      </c>
      <c r="AF27" s="15">
        <v>0.27850810149801292</v>
      </c>
      <c r="AG27" s="15">
        <v>1.6252101498012927E-2</v>
      </c>
      <c r="AH27" s="15">
        <v>3.694734263152219E-2</v>
      </c>
      <c r="AJ27" s="7" t="s">
        <v>27</v>
      </c>
      <c r="AK27" s="15">
        <v>0.1083916083916084</v>
      </c>
      <c r="AL27" s="15">
        <v>1.8502608391608402E-2</v>
      </c>
      <c r="AM27" s="15">
        <v>6.4687649517912116E-2</v>
      </c>
      <c r="AO27" s="7" t="s">
        <v>42</v>
      </c>
      <c r="AP27" s="15">
        <v>0.14851485148514851</v>
      </c>
      <c r="AQ27" s="15">
        <v>6.2431851485148501E-2</v>
      </c>
      <c r="AR27" s="15">
        <v>0.22257820661100949</v>
      </c>
      <c r="AT27" s="7" t="s">
        <v>82</v>
      </c>
      <c r="AU27" s="15">
        <v>5.7034220532319393E-3</v>
      </c>
      <c r="AV27" s="15">
        <v>2.4984220532319394E-3</v>
      </c>
      <c r="AW27" s="15">
        <v>4.4201865669407842E-2</v>
      </c>
      <c r="AY27" s="7" t="s">
        <v>109</v>
      </c>
      <c r="AZ27" s="15">
        <v>3.920642418516769E-2</v>
      </c>
      <c r="BA27" s="15">
        <v>1.2915424185167692E-2</v>
      </c>
      <c r="BB27" s="15">
        <v>8.0719887659404452E-2</v>
      </c>
    </row>
    <row r="28" spans="1:54" x14ac:dyDescent="0.2">
      <c r="A28" s="1" t="s">
        <v>24</v>
      </c>
      <c r="B28" s="15">
        <v>2.5167535368577808E-2</v>
      </c>
      <c r="C28" s="15">
        <v>3.2558850504432899E-2</v>
      </c>
      <c r="D28" s="15">
        <v>4.195804195804196E-2</v>
      </c>
      <c r="E28" s="15">
        <v>3.9603960396039598E-2</v>
      </c>
      <c r="F28" s="15">
        <v>2.875475285171103E-2</v>
      </c>
      <c r="G28" s="15">
        <v>6.7076051015588098E-2</v>
      </c>
      <c r="H28" s="15">
        <v>3.3100999999999998E-2</v>
      </c>
      <c r="J28" s="1" t="s">
        <v>24</v>
      </c>
      <c r="K28" s="11">
        <f t="shared" si="1"/>
        <v>-7.93346463142219E-3</v>
      </c>
      <c r="L28" s="11">
        <f t="shared" si="2"/>
        <v>-5.4214949556709996E-4</v>
      </c>
      <c r="M28" s="11">
        <f t="shared" si="3"/>
        <v>8.8570419580419613E-3</v>
      </c>
      <c r="N28" s="11">
        <f t="shared" si="4"/>
        <v>6.502960396039599E-3</v>
      </c>
      <c r="O28" s="11">
        <f t="shared" si="5"/>
        <v>-4.3462471482889689E-3</v>
      </c>
      <c r="P28" s="11">
        <f t="shared" si="6"/>
        <v>3.3975051015588099E-2</v>
      </c>
      <c r="U28" s="3">
        <v>25</v>
      </c>
      <c r="V28" s="4" t="s">
        <v>24</v>
      </c>
      <c r="W28" s="5">
        <v>3.3100999999999998E-2</v>
      </c>
      <c r="X28" s="5">
        <v>0.17890600000000001</v>
      </c>
      <c r="Z28" s="7" t="s">
        <v>64</v>
      </c>
      <c r="AA28" s="15">
        <v>0.11586001489203281</v>
      </c>
      <c r="AB28" s="15">
        <v>8.4440148920328084E-3</v>
      </c>
      <c r="AC28" s="15">
        <v>2.7269545913233679E-2</v>
      </c>
      <c r="AE28" s="7" t="s">
        <v>16</v>
      </c>
      <c r="AF28" s="15">
        <v>0.1238153469886885</v>
      </c>
      <c r="AG28" s="15">
        <v>1.15413469886885E-2</v>
      </c>
      <c r="AH28" s="15">
        <v>3.6556683133272198E-2</v>
      </c>
      <c r="AJ28" s="7" t="s">
        <v>104</v>
      </c>
      <c r="AK28" s="15">
        <v>3.1398601398601317E-2</v>
      </c>
      <c r="AL28" s="15">
        <v>1.6536013986013162E-3</v>
      </c>
      <c r="AM28" s="15">
        <v>5.7917459934899523E-2</v>
      </c>
      <c r="AO28" s="7" t="s">
        <v>28</v>
      </c>
      <c r="AP28" s="15">
        <v>0.51485148514851486</v>
      </c>
      <c r="AQ28" s="15">
        <v>8.3883485148514847E-2</v>
      </c>
      <c r="AR28" s="15">
        <v>0.16938493519804138</v>
      </c>
      <c r="AT28" s="7" t="s">
        <v>42</v>
      </c>
      <c r="AU28" s="15">
        <v>9.8146387832699619E-2</v>
      </c>
      <c r="AV28" s="15">
        <v>1.2063387832699612E-2</v>
      </c>
      <c r="AW28" s="15">
        <v>4.3007650191090048E-2</v>
      </c>
      <c r="AY28" s="7" t="s">
        <v>107</v>
      </c>
      <c r="AZ28" s="15">
        <v>0.47000472366556451</v>
      </c>
      <c r="BA28" s="15">
        <v>3.2175723665564482E-2</v>
      </c>
      <c r="BB28" s="15">
        <v>6.4853151309660489E-2</v>
      </c>
    </row>
    <row r="29" spans="1:54" x14ac:dyDescent="0.2">
      <c r="A29" s="1" t="s">
        <v>25</v>
      </c>
      <c r="B29" s="15">
        <v>0.1180938198064036</v>
      </c>
      <c r="C29" s="15">
        <v>0.11005808621216751</v>
      </c>
      <c r="D29" s="15">
        <v>8.7412587412587409E-2</v>
      </c>
      <c r="E29" s="15">
        <v>7.9207920792079209E-2</v>
      </c>
      <c r="F29" s="15">
        <v>0.11097908745247149</v>
      </c>
      <c r="G29" s="15">
        <v>0.1195087387812943</v>
      </c>
      <c r="H29" s="15">
        <v>0.11347599999999999</v>
      </c>
      <c r="J29" s="1" t="s">
        <v>25</v>
      </c>
      <c r="K29" s="11">
        <f t="shared" si="1"/>
        <v>4.6178198064036058E-3</v>
      </c>
      <c r="L29" s="11">
        <f t="shared" si="2"/>
        <v>-3.4179137878324883E-3</v>
      </c>
      <c r="M29" s="11">
        <f t="shared" si="3"/>
        <v>-2.6063412587412585E-2</v>
      </c>
      <c r="N29" s="11">
        <f t="shared" si="4"/>
        <v>-3.4268079207920785E-2</v>
      </c>
      <c r="O29" s="11">
        <f t="shared" si="5"/>
        <v>-2.4969125475284987E-3</v>
      </c>
      <c r="P29" s="11">
        <f t="shared" si="6"/>
        <v>6.0327387812943029E-3</v>
      </c>
      <c r="U29" s="3">
        <v>26</v>
      </c>
      <c r="V29" s="4" t="s">
        <v>25</v>
      </c>
      <c r="W29" s="5">
        <v>0.11347599999999999</v>
      </c>
      <c r="X29" s="5">
        <v>0.31718200000000002</v>
      </c>
      <c r="Z29" s="7" t="s">
        <v>87</v>
      </c>
      <c r="AA29" s="15">
        <v>6.7609828741623232E-2</v>
      </c>
      <c r="AB29" s="15">
        <v>6.5148287416232353E-3</v>
      </c>
      <c r="AC29" s="15">
        <v>2.7200654426217007E-2</v>
      </c>
      <c r="AE29" s="7" t="s">
        <v>11</v>
      </c>
      <c r="AF29" s="15">
        <v>0.1210638948333843</v>
      </c>
      <c r="AG29" s="15">
        <v>9.9918948333842933E-3</v>
      </c>
      <c r="AH29" s="15">
        <v>3.1798130768911505E-2</v>
      </c>
      <c r="AJ29" s="7" t="s">
        <v>72</v>
      </c>
      <c r="AK29" s="15">
        <v>3.2237762237762242</v>
      </c>
      <c r="AL29" s="15">
        <v>9.8632223776224048E-2</v>
      </c>
      <c r="AM29" s="15">
        <v>5.7559595729973816E-2</v>
      </c>
      <c r="AO29" s="7" t="s">
        <v>48</v>
      </c>
      <c r="AP29" s="15">
        <v>4.9504950495049507E-2</v>
      </c>
      <c r="AQ29" s="15">
        <v>2.4816950495049506E-2</v>
      </c>
      <c r="AR29" s="15">
        <v>0.15992673202246147</v>
      </c>
      <c r="AT29" s="7" t="s">
        <v>11</v>
      </c>
      <c r="AU29" s="15">
        <v>0.1240494296577947</v>
      </c>
      <c r="AV29" s="15">
        <v>1.2977429657794692E-2</v>
      </c>
      <c r="AW29" s="15">
        <v>4.1299274280205495E-2</v>
      </c>
      <c r="AY29" s="7" t="s">
        <v>34</v>
      </c>
      <c r="AZ29" s="15">
        <v>0.13367973547472839</v>
      </c>
      <c r="BA29" s="15">
        <v>1.5045735474728386E-2</v>
      </c>
      <c r="BB29" s="15">
        <v>4.6528645569954653E-2</v>
      </c>
    </row>
    <row r="30" spans="1:54" x14ac:dyDescent="0.2">
      <c r="A30" s="1" t="s">
        <v>26</v>
      </c>
      <c r="B30" s="15">
        <v>9.2181682799702153E-2</v>
      </c>
      <c r="C30" s="15">
        <v>8.7893610516661572E-2</v>
      </c>
      <c r="D30" s="15">
        <v>8.7412587412587409E-2</v>
      </c>
      <c r="E30" s="15">
        <v>0.1683168316831683</v>
      </c>
      <c r="F30" s="15">
        <v>8.6501901140684415E-2</v>
      </c>
      <c r="G30" s="15">
        <v>8.5970713273500241E-2</v>
      </c>
      <c r="H30" s="15">
        <v>8.9237999999999998E-2</v>
      </c>
      <c r="J30" s="1" t="s">
        <v>26</v>
      </c>
      <c r="K30" s="11">
        <f t="shared" si="1"/>
        <v>2.9436827997021547E-3</v>
      </c>
      <c r="L30" s="11">
        <f t="shared" si="2"/>
        <v>-1.3443894833384262E-3</v>
      </c>
      <c r="M30" s="11">
        <f t="shared" si="3"/>
        <v>-1.8254125874125893E-3</v>
      </c>
      <c r="N30" s="11">
        <f t="shared" si="4"/>
        <v>7.9078831683168302E-2</v>
      </c>
      <c r="O30" s="11">
        <f t="shared" si="5"/>
        <v>-2.7360988593155833E-3</v>
      </c>
      <c r="P30" s="11">
        <f t="shared" si="6"/>
        <v>-3.2672867264997574E-3</v>
      </c>
      <c r="U30" s="3">
        <v>27</v>
      </c>
      <c r="V30" s="4" t="s">
        <v>26</v>
      </c>
      <c r="W30" s="5">
        <v>8.9237999999999998E-2</v>
      </c>
      <c r="X30" s="5">
        <v>0.28509499999999999</v>
      </c>
      <c r="Z30" s="7" t="s">
        <v>76</v>
      </c>
      <c r="AA30" s="15">
        <v>6.5227103499627695E-2</v>
      </c>
      <c r="AB30" s="15">
        <v>5.2841034996276917E-3</v>
      </c>
      <c r="AC30" s="15">
        <v>2.2259447651420221E-2</v>
      </c>
      <c r="AE30" s="7" t="s">
        <v>13</v>
      </c>
      <c r="AF30" s="15">
        <v>1.4078263527973101</v>
      </c>
      <c r="AG30" s="15">
        <v>2.0426352797310088E-2</v>
      </c>
      <c r="AH30" s="15">
        <v>2.9759843113453015E-2</v>
      </c>
      <c r="AJ30" s="7" t="s">
        <v>34</v>
      </c>
      <c r="AK30" s="15">
        <v>0.13636363636363641</v>
      </c>
      <c r="AL30" s="15">
        <v>1.7729636363636406E-2</v>
      </c>
      <c r="AM30" s="15">
        <v>5.4828557090706803E-2</v>
      </c>
      <c r="AO30" s="7" t="s">
        <v>10</v>
      </c>
      <c r="AP30" s="15">
        <v>0.54455445544554459</v>
      </c>
      <c r="AQ30" s="15">
        <v>7.5978455445544602E-2</v>
      </c>
      <c r="AR30" s="15">
        <v>0.15225411091559643</v>
      </c>
      <c r="AT30" s="7" t="s">
        <v>41</v>
      </c>
      <c r="AU30" s="15">
        <v>0.16064638783269961</v>
      </c>
      <c r="AV30" s="15">
        <v>1.4269387832699598E-2</v>
      </c>
      <c r="AW30" s="15">
        <v>4.036681867165573E-2</v>
      </c>
      <c r="AY30" s="7" t="s">
        <v>37</v>
      </c>
      <c r="AZ30" s="15">
        <v>0.1218705715635333</v>
      </c>
      <c r="BA30" s="15">
        <v>1.3853571563533298E-2</v>
      </c>
      <c r="BB30" s="15">
        <v>4.4629913867250723E-2</v>
      </c>
    </row>
    <row r="31" spans="1:54" x14ac:dyDescent="0.2">
      <c r="A31" s="1" t="s">
        <v>27</v>
      </c>
      <c r="B31" s="15">
        <v>7.7289650037230082E-2</v>
      </c>
      <c r="C31" s="15">
        <v>9.1103638031183126E-2</v>
      </c>
      <c r="D31" s="15">
        <v>0.1083916083916084</v>
      </c>
      <c r="E31" s="15">
        <v>9.9009900990099015E-2</v>
      </c>
      <c r="F31" s="15">
        <v>8.6026615969581749E-2</v>
      </c>
      <c r="G31" s="15">
        <v>0.13084553613604161</v>
      </c>
      <c r="H31" s="15">
        <v>8.9888999999999997E-2</v>
      </c>
      <c r="J31" s="1" t="s">
        <v>27</v>
      </c>
      <c r="K31" s="11">
        <f t="shared" si="1"/>
        <v>-1.2599349962769915E-2</v>
      </c>
      <c r="L31" s="11">
        <f t="shared" si="2"/>
        <v>1.2146380311831295E-3</v>
      </c>
      <c r="M31" s="11">
        <f t="shared" si="3"/>
        <v>1.8502608391608402E-2</v>
      </c>
      <c r="N31" s="11">
        <f t="shared" si="4"/>
        <v>9.1209009900990179E-3</v>
      </c>
      <c r="O31" s="11">
        <f t="shared" si="5"/>
        <v>-3.8623840304182477E-3</v>
      </c>
      <c r="P31" s="11">
        <f t="shared" si="6"/>
        <v>4.095653613604161E-2</v>
      </c>
      <c r="U31" s="3">
        <v>28</v>
      </c>
      <c r="V31" s="4" t="s">
        <v>27</v>
      </c>
      <c r="W31" s="5">
        <v>8.9888999999999997E-2</v>
      </c>
      <c r="X31" s="5">
        <v>0.28603000000000001</v>
      </c>
      <c r="Z31" s="7" t="s">
        <v>6</v>
      </c>
      <c r="AA31" s="15">
        <v>0.17423678332092329</v>
      </c>
      <c r="AB31" s="15">
        <v>7.3277833209232923E-3</v>
      </c>
      <c r="AC31" s="15">
        <v>1.9650589215785542E-2</v>
      </c>
      <c r="AE31" s="7" t="s">
        <v>47</v>
      </c>
      <c r="AF31" s="15">
        <v>7.9639254050749009E-2</v>
      </c>
      <c r="AG31" s="15">
        <v>7.3272540507490075E-3</v>
      </c>
      <c r="AH31" s="15">
        <v>2.8289463923203764E-2</v>
      </c>
      <c r="AJ31" s="7" t="s">
        <v>28</v>
      </c>
      <c r="AK31" s="15">
        <v>0.45804195804195802</v>
      </c>
      <c r="AL31" s="15">
        <v>2.7073958041958002E-2</v>
      </c>
      <c r="AM31" s="15">
        <v>5.4670125119053198E-2</v>
      </c>
      <c r="AO31" s="7" t="s">
        <v>33</v>
      </c>
      <c r="AP31" s="15">
        <v>0.1683168316831683</v>
      </c>
      <c r="AQ31" s="15">
        <v>4.63278316831683E-2</v>
      </c>
      <c r="AR31" s="15">
        <v>0.1415536853137466</v>
      </c>
      <c r="AT31" s="7" t="s">
        <v>100</v>
      </c>
      <c r="AU31" s="15">
        <v>7.1530418250950564E-2</v>
      </c>
      <c r="AV31" s="15">
        <v>8.2824182509505656E-3</v>
      </c>
      <c r="AW31" s="15">
        <v>3.4025915621266424E-2</v>
      </c>
      <c r="AY31" s="7" t="s">
        <v>44</v>
      </c>
      <c r="AZ31" s="15">
        <v>0.27491733585262162</v>
      </c>
      <c r="BA31" s="15">
        <v>1.9271335852621641E-2</v>
      </c>
      <c r="BB31" s="15">
        <v>4.4176500859907257E-2</v>
      </c>
    </row>
    <row r="32" spans="1:54" x14ac:dyDescent="0.2">
      <c r="A32" s="1" t="s">
        <v>28</v>
      </c>
      <c r="B32" s="15">
        <v>0.42903946388682063</v>
      </c>
      <c r="C32" s="15">
        <v>0.43962091103638029</v>
      </c>
      <c r="D32" s="15">
        <v>0.45804195804195802</v>
      </c>
      <c r="E32" s="15">
        <v>0.51485148514851486</v>
      </c>
      <c r="F32" s="15">
        <v>0.4298954372623574</v>
      </c>
      <c r="G32" s="15">
        <v>0.40481813887576762</v>
      </c>
      <c r="H32" s="15">
        <v>0.43096800000000002</v>
      </c>
      <c r="J32" s="1" t="s">
        <v>28</v>
      </c>
      <c r="K32" s="11">
        <f t="shared" si="1"/>
        <v>-1.928536113179391E-3</v>
      </c>
      <c r="L32" s="11">
        <f t="shared" si="2"/>
        <v>8.652911036380273E-3</v>
      </c>
      <c r="M32" s="11">
        <f t="shared" si="3"/>
        <v>2.7073958041958002E-2</v>
      </c>
      <c r="N32" s="11">
        <f t="shared" si="4"/>
        <v>8.3883485148514847E-2</v>
      </c>
      <c r="O32" s="11">
        <f t="shared" si="5"/>
        <v>-1.0725627376426128E-3</v>
      </c>
      <c r="P32" s="11">
        <f t="shared" si="6"/>
        <v>-2.6149861124232399E-2</v>
      </c>
      <c r="U32" s="3">
        <v>29</v>
      </c>
      <c r="V32" s="4" t="s">
        <v>28</v>
      </c>
      <c r="W32" s="5">
        <v>0.43096800000000002</v>
      </c>
      <c r="X32" s="5">
        <v>0.495224</v>
      </c>
      <c r="Z32" s="7" t="s">
        <v>7</v>
      </c>
      <c r="AA32" s="15">
        <v>9.9776619508562918E-3</v>
      </c>
      <c r="AB32" s="15">
        <v>1.5646619508562915E-3</v>
      </c>
      <c r="AC32" s="15">
        <v>1.7130459949378039E-2</v>
      </c>
      <c r="AE32" s="7" t="s">
        <v>66</v>
      </c>
      <c r="AF32" s="15">
        <v>0.1239682054417609</v>
      </c>
      <c r="AG32" s="15">
        <v>8.8402054417609094E-3</v>
      </c>
      <c r="AH32" s="15">
        <v>2.76961807157633E-2</v>
      </c>
      <c r="AJ32" s="7" t="s">
        <v>77</v>
      </c>
      <c r="AK32" s="15">
        <v>0.1223776223776224</v>
      </c>
      <c r="AL32" s="15">
        <v>1.6563622377622392E-2</v>
      </c>
      <c r="AM32" s="15">
        <v>5.3846701725326115E-2</v>
      </c>
      <c r="AO32" s="7" t="s">
        <v>23</v>
      </c>
      <c r="AP32" s="15">
        <v>1.9801980198019799E-2</v>
      </c>
      <c r="AQ32" s="15">
        <v>1.1388980198019798E-2</v>
      </c>
      <c r="AR32" s="15">
        <v>0.12469049243490987</v>
      </c>
      <c r="AT32" s="7" t="s">
        <v>107</v>
      </c>
      <c r="AU32" s="15">
        <v>0.45365969581749049</v>
      </c>
      <c r="AV32" s="15">
        <v>1.583069581749047E-2</v>
      </c>
      <c r="AW32" s="15">
        <v>3.1908233731124919E-2</v>
      </c>
      <c r="AY32" s="7" t="s">
        <v>39</v>
      </c>
      <c r="AZ32" s="15">
        <v>9.5418044402456312E-2</v>
      </c>
      <c r="BA32" s="15">
        <v>1.2189044402456314E-2</v>
      </c>
      <c r="BB32" s="15">
        <v>4.4125633617956864E-2</v>
      </c>
    </row>
    <row r="33" spans="1:54" x14ac:dyDescent="0.2">
      <c r="A33" s="1" t="s">
        <v>29</v>
      </c>
      <c r="B33" s="15">
        <v>0.3663440059568131</v>
      </c>
      <c r="C33" s="15">
        <v>0.33934576582084991</v>
      </c>
      <c r="D33" s="15">
        <v>0.32867132867132859</v>
      </c>
      <c r="E33" s="15">
        <v>0.27722772277227731</v>
      </c>
      <c r="F33" s="15">
        <v>0.34980988593155887</v>
      </c>
      <c r="G33" s="15">
        <v>0.3216816249409542</v>
      </c>
      <c r="H33" s="15">
        <v>0.34828999999999999</v>
      </c>
      <c r="J33" s="1" t="s">
        <v>29</v>
      </c>
      <c r="K33" s="11">
        <f t="shared" si="1"/>
        <v>1.8054005956813113E-2</v>
      </c>
      <c r="L33" s="11">
        <f t="shared" si="2"/>
        <v>-8.944234179150079E-3</v>
      </c>
      <c r="M33" s="11">
        <f t="shared" si="3"/>
        <v>-1.96186713286714E-2</v>
      </c>
      <c r="N33" s="11">
        <f t="shared" si="4"/>
        <v>-7.1062277227722681E-2</v>
      </c>
      <c r="O33" s="11">
        <f t="shared" si="5"/>
        <v>1.5198859315588842E-3</v>
      </c>
      <c r="P33" s="11">
        <f t="shared" si="6"/>
        <v>-2.6608375059045786E-2</v>
      </c>
      <c r="U33" s="3">
        <v>30</v>
      </c>
      <c r="V33" s="4" t="s">
        <v>29</v>
      </c>
      <c r="W33" s="5">
        <v>0.34828999999999999</v>
      </c>
      <c r="X33" s="5">
        <v>0.47643999999999997</v>
      </c>
      <c r="Z33" s="7" t="s">
        <v>17</v>
      </c>
      <c r="AA33" s="15">
        <v>0.1213700670141474</v>
      </c>
      <c r="AB33" s="15">
        <v>5.3400670141474094E-3</v>
      </c>
      <c r="AC33" s="15">
        <v>1.6673693095951868E-2</v>
      </c>
      <c r="AE33" s="7" t="s">
        <v>34</v>
      </c>
      <c r="AF33" s="15">
        <v>0.12671965759706511</v>
      </c>
      <c r="AG33" s="15">
        <v>8.0856575970651018E-3</v>
      </c>
      <c r="AH33" s="15">
        <v>2.500473952674254E-2</v>
      </c>
      <c r="AJ33" s="7" t="s">
        <v>18</v>
      </c>
      <c r="AK33" s="15">
        <v>0.1293706293706294</v>
      </c>
      <c r="AL33" s="15">
        <v>1.5944629370629404E-2</v>
      </c>
      <c r="AM33" s="15">
        <v>5.0279323572483076E-2</v>
      </c>
      <c r="AO33" s="7" t="s">
        <v>41</v>
      </c>
      <c r="AP33" s="15">
        <v>0.18811881188118809</v>
      </c>
      <c r="AQ33" s="15">
        <v>4.1741811881188084E-2</v>
      </c>
      <c r="AR33" s="15">
        <v>0.11808384290831242</v>
      </c>
      <c r="AT33" s="7" t="s">
        <v>8</v>
      </c>
      <c r="AU33" s="15">
        <v>1.5922053231939161E-2</v>
      </c>
      <c r="AV33" s="15">
        <v>3.4030532319391602E-3</v>
      </c>
      <c r="AW33" s="15">
        <v>3.0605749005658427E-2</v>
      </c>
      <c r="AY33" s="7" t="s">
        <v>36</v>
      </c>
      <c r="AZ33" s="15">
        <v>0.12564950401511571</v>
      </c>
      <c r="BA33" s="15">
        <v>1.3826504015115704E-2</v>
      </c>
      <c r="BB33" s="15">
        <v>4.3871797279183715E-2</v>
      </c>
    </row>
    <row r="34" spans="1:54" x14ac:dyDescent="0.2">
      <c r="A34" s="1" t="s">
        <v>30</v>
      </c>
      <c r="B34" s="15">
        <v>0.12732688011913629</v>
      </c>
      <c r="C34" s="15">
        <v>0.1299296851115867</v>
      </c>
      <c r="D34" s="15">
        <v>0.1048951048951049</v>
      </c>
      <c r="E34" s="15">
        <v>0.1089108910891089</v>
      </c>
      <c r="F34" s="15">
        <v>0.13426806083650189</v>
      </c>
      <c r="G34" s="15">
        <v>0.14265470004723671</v>
      </c>
      <c r="H34" s="15">
        <v>0.130853</v>
      </c>
      <c r="J34" s="1" t="s">
        <v>30</v>
      </c>
      <c r="K34" s="11">
        <f t="shared" si="1"/>
        <v>-3.5261198808637095E-3</v>
      </c>
      <c r="L34" s="11">
        <f t="shared" si="2"/>
        <v>-9.2331488841329579E-4</v>
      </c>
      <c r="M34" s="11">
        <f t="shared" si="3"/>
        <v>-2.5957895104895101E-2</v>
      </c>
      <c r="N34" s="11">
        <f t="shared" si="4"/>
        <v>-2.19421089108911E-2</v>
      </c>
      <c r="O34" s="11">
        <f t="shared" si="5"/>
        <v>3.4150608365018931E-3</v>
      </c>
      <c r="P34" s="11">
        <f t="shared" si="6"/>
        <v>1.1801700047236713E-2</v>
      </c>
      <c r="U34" s="3">
        <v>31</v>
      </c>
      <c r="V34" s="4" t="s">
        <v>30</v>
      </c>
      <c r="W34" s="5">
        <v>0.130853</v>
      </c>
      <c r="X34" s="5">
        <v>0.33724799999999999</v>
      </c>
      <c r="Z34" s="7" t="s">
        <v>1</v>
      </c>
      <c r="AA34" s="15">
        <v>0.1560685033507074</v>
      </c>
      <c r="AB34" s="15">
        <v>5.8355033507073995E-3</v>
      </c>
      <c r="AC34" s="15">
        <v>1.6331857531058355E-2</v>
      </c>
      <c r="AE34" s="7" t="s">
        <v>12</v>
      </c>
      <c r="AF34" s="15">
        <v>0.43213084683582997</v>
      </c>
      <c r="AG34" s="15">
        <v>1.177884683582997E-2</v>
      </c>
      <c r="AH34" s="15">
        <v>2.3861788301777796E-2</v>
      </c>
      <c r="AJ34" s="7" t="s">
        <v>24</v>
      </c>
      <c r="AK34" s="15">
        <v>4.195804195804196E-2</v>
      </c>
      <c r="AL34" s="15">
        <v>8.8570419580419613E-3</v>
      </c>
      <c r="AM34" s="15">
        <v>4.9506679250790699E-2</v>
      </c>
      <c r="AO34" s="7" t="s">
        <v>6</v>
      </c>
      <c r="AP34" s="15">
        <v>0.20792079207920791</v>
      </c>
      <c r="AQ34" s="15">
        <v>4.1011792079207909E-2</v>
      </c>
      <c r="AR34" s="15">
        <v>0.10997949091242762</v>
      </c>
      <c r="AT34" s="7" t="s">
        <v>32</v>
      </c>
      <c r="AU34" s="15">
        <v>0.12785171102661599</v>
      </c>
      <c r="AV34" s="15">
        <v>9.3177110266159935E-3</v>
      </c>
      <c r="AW34" s="15">
        <v>2.8825359637107206E-2</v>
      </c>
      <c r="AY34" s="7" t="s">
        <v>3</v>
      </c>
      <c r="AZ34" s="15">
        <v>0.17997165800661311</v>
      </c>
      <c r="BA34" s="15">
        <v>1.5666658006613099E-2</v>
      </c>
      <c r="BB34" s="15">
        <v>4.2278216020069842E-2</v>
      </c>
    </row>
    <row r="35" spans="1:54" x14ac:dyDescent="0.2">
      <c r="A35" s="1" t="s">
        <v>31</v>
      </c>
      <c r="B35" s="15">
        <v>0.15591958302308259</v>
      </c>
      <c r="C35" s="15">
        <v>9.7829409966371142E-2</v>
      </c>
      <c r="D35" s="15">
        <v>0.1293706293706294</v>
      </c>
      <c r="E35" s="15">
        <v>0.1089108910891089</v>
      </c>
      <c r="F35" s="15">
        <v>0.11596958174904939</v>
      </c>
      <c r="G35" s="15">
        <v>8.5025980160604628E-2</v>
      </c>
      <c r="H35" s="15">
        <v>0.120337</v>
      </c>
      <c r="J35" s="1" t="s">
        <v>31</v>
      </c>
      <c r="K35" s="11">
        <f t="shared" si="1"/>
        <v>3.5582583023082592E-2</v>
      </c>
      <c r="L35" s="11">
        <f t="shared" si="2"/>
        <v>-2.2507590033628858E-2</v>
      </c>
      <c r="M35" s="11">
        <f t="shared" si="3"/>
        <v>9.0336293706294035E-3</v>
      </c>
      <c r="N35" s="11">
        <f t="shared" si="4"/>
        <v>-1.1426108910891103E-2</v>
      </c>
      <c r="O35" s="11">
        <f t="shared" si="5"/>
        <v>-4.3674182509506054E-3</v>
      </c>
      <c r="P35" s="11">
        <f t="shared" si="6"/>
        <v>-3.5311019839395372E-2</v>
      </c>
      <c r="U35" s="3">
        <v>32</v>
      </c>
      <c r="V35" s="4" t="s">
        <v>31</v>
      </c>
      <c r="W35" s="5">
        <v>0.120337</v>
      </c>
      <c r="X35" s="5">
        <v>0.32536300000000001</v>
      </c>
      <c r="Z35" s="7" t="s">
        <v>25</v>
      </c>
      <c r="AA35" s="15">
        <v>0.1180938198064036</v>
      </c>
      <c r="AB35" s="15">
        <v>4.6178198064036058E-3</v>
      </c>
      <c r="AC35" s="15">
        <v>1.4558896174447495E-2</v>
      </c>
      <c r="AE35" s="7" t="s">
        <v>65</v>
      </c>
      <c r="AF35" s="15">
        <v>0.1163252827881382</v>
      </c>
      <c r="AG35" s="15">
        <v>6.7052827881382004E-3</v>
      </c>
      <c r="AH35" s="15">
        <v>2.1462193206448311E-2</v>
      </c>
      <c r="AJ35" s="7" t="s">
        <v>84</v>
      </c>
      <c r="AK35" s="15">
        <v>4.8951048951048952E-2</v>
      </c>
      <c r="AL35" s="15">
        <v>9.5400489510489503E-3</v>
      </c>
      <c r="AM35" s="15">
        <v>4.902993663683574E-2</v>
      </c>
      <c r="AO35" s="7" t="s">
        <v>47</v>
      </c>
      <c r="AP35" s="15">
        <v>9.9009900990099015E-2</v>
      </c>
      <c r="AQ35" s="15">
        <v>2.6697900990099013E-2</v>
      </c>
      <c r="AR35" s="15">
        <v>0.10307671900737042</v>
      </c>
      <c r="AT35" s="7" t="s">
        <v>4</v>
      </c>
      <c r="AU35" s="15">
        <v>0.16896387832699619</v>
      </c>
      <c r="AV35" s="15">
        <v>1.0067878326996182E-2</v>
      </c>
      <c r="AW35" s="15">
        <v>2.7538788987076152E-2</v>
      </c>
      <c r="AY35" s="7" t="s">
        <v>38</v>
      </c>
      <c r="AZ35" s="15">
        <v>0.11525743977326409</v>
      </c>
      <c r="BA35" s="15">
        <v>1.2748439773264092E-2</v>
      </c>
      <c r="BB35" s="15">
        <v>4.2029116631931838E-2</v>
      </c>
    </row>
    <row r="36" spans="1:54" x14ac:dyDescent="0.2">
      <c r="A36" s="1" t="s">
        <v>32</v>
      </c>
      <c r="B36" s="15">
        <v>0.12151898734177211</v>
      </c>
      <c r="C36" s="15">
        <v>0.1132681137266891</v>
      </c>
      <c r="D36" s="15">
        <v>0.1398601398601399</v>
      </c>
      <c r="E36" s="15">
        <v>0.1089108910891089</v>
      </c>
      <c r="F36" s="15">
        <v>0.12785171102661599</v>
      </c>
      <c r="G36" s="15">
        <v>0.1043930089749646</v>
      </c>
      <c r="H36" s="15">
        <v>0.118534</v>
      </c>
      <c r="J36" s="1" t="s">
        <v>32</v>
      </c>
      <c r="K36" s="11">
        <f t="shared" si="1"/>
        <v>2.9849873417721051E-3</v>
      </c>
      <c r="L36" s="11">
        <f t="shared" si="2"/>
        <v>-5.2658862733108991E-3</v>
      </c>
      <c r="M36" s="11">
        <f t="shared" si="3"/>
        <v>2.1326139860139898E-2</v>
      </c>
      <c r="N36" s="11">
        <f t="shared" si="4"/>
        <v>-9.6231089108911039E-3</v>
      </c>
      <c r="O36" s="11">
        <f t="shared" si="5"/>
        <v>9.3177110266159935E-3</v>
      </c>
      <c r="P36" s="11">
        <f t="shared" si="6"/>
        <v>-1.4140991025035396E-2</v>
      </c>
      <c r="U36" s="3">
        <v>33</v>
      </c>
      <c r="V36" s="4" t="s">
        <v>32</v>
      </c>
      <c r="W36" s="5">
        <v>0.118534</v>
      </c>
      <c r="X36" s="5">
        <v>0.32324700000000001</v>
      </c>
      <c r="Z36" s="7" t="s">
        <v>79</v>
      </c>
      <c r="AA36" s="15">
        <v>1.6976917349218169E-2</v>
      </c>
      <c r="AB36" s="15">
        <v>1.5029173492181695E-3</v>
      </c>
      <c r="AC36" s="15">
        <v>1.2176174131443231E-2</v>
      </c>
      <c r="AE36" s="7" t="s">
        <v>51</v>
      </c>
      <c r="AF36" s="15">
        <v>0.1877101803729746</v>
      </c>
      <c r="AG36" s="15">
        <v>8.2321803729746013E-3</v>
      </c>
      <c r="AH36" s="15">
        <v>2.1451265036597167E-2</v>
      </c>
      <c r="AJ36" s="7" t="s">
        <v>76</v>
      </c>
      <c r="AK36" s="15">
        <v>6.9930069930069935E-2</v>
      </c>
      <c r="AL36" s="15">
        <v>9.987069930069932E-3</v>
      </c>
      <c r="AM36" s="15">
        <v>4.2070837619877809E-2</v>
      </c>
      <c r="AO36" s="7" t="s">
        <v>38</v>
      </c>
      <c r="AP36" s="15">
        <v>0.12871287128712869</v>
      </c>
      <c r="AQ36" s="15">
        <v>2.6203871287128686E-2</v>
      </c>
      <c r="AR36" s="15">
        <v>8.6389046983188555E-2</v>
      </c>
      <c r="AT36" s="7" t="s">
        <v>47</v>
      </c>
      <c r="AU36" s="15">
        <v>7.9372623574144485E-2</v>
      </c>
      <c r="AV36" s="15">
        <v>7.0606235741444839E-3</v>
      </c>
      <c r="AW36" s="15">
        <v>2.7260042369578331E-2</v>
      </c>
      <c r="AY36" s="7" t="s">
        <v>91</v>
      </c>
      <c r="AZ36" s="15">
        <v>0.14737836561171469</v>
      </c>
      <c r="BA36" s="15">
        <v>1.3070365611714679E-2</v>
      </c>
      <c r="BB36" s="15">
        <v>3.8330417170240591E-2</v>
      </c>
    </row>
    <row r="37" spans="1:54" x14ac:dyDescent="0.2">
      <c r="A37" s="1" t="s">
        <v>33</v>
      </c>
      <c r="B37" s="15">
        <v>0.10067014147431121</v>
      </c>
      <c r="C37" s="15">
        <v>0.14292265362274531</v>
      </c>
      <c r="D37" s="15">
        <v>0.12587412587412589</v>
      </c>
      <c r="E37" s="15">
        <v>0.1683168316831683</v>
      </c>
      <c r="F37" s="15">
        <v>0.12690114068441061</v>
      </c>
      <c r="G37" s="15">
        <v>0.1124232404345772</v>
      </c>
      <c r="H37" s="15">
        <v>0.121989</v>
      </c>
      <c r="J37" s="1" t="s">
        <v>33</v>
      </c>
      <c r="K37" s="11">
        <f t="shared" si="1"/>
        <v>-2.1318858525688794E-2</v>
      </c>
      <c r="L37" s="11">
        <f t="shared" si="2"/>
        <v>2.093365362274531E-2</v>
      </c>
      <c r="M37" s="11">
        <f t="shared" si="3"/>
        <v>3.8851258741258859E-3</v>
      </c>
      <c r="N37" s="11">
        <f t="shared" si="4"/>
        <v>4.63278316831683E-2</v>
      </c>
      <c r="O37" s="11">
        <f t="shared" si="5"/>
        <v>4.9121406844106069E-3</v>
      </c>
      <c r="P37" s="11">
        <f t="shared" si="6"/>
        <v>-9.5657595654227989E-3</v>
      </c>
      <c r="U37" s="3">
        <v>34</v>
      </c>
      <c r="V37" s="4" t="s">
        <v>33</v>
      </c>
      <c r="W37" s="5">
        <v>0.121989</v>
      </c>
      <c r="X37" s="5">
        <v>0.32728099999999999</v>
      </c>
      <c r="Z37" s="7" t="s">
        <v>26</v>
      </c>
      <c r="AA37" s="15">
        <v>9.2181682799702153E-2</v>
      </c>
      <c r="AB37" s="15">
        <v>2.9436827997021547E-3</v>
      </c>
      <c r="AC37" s="15">
        <v>1.03252698212952E-2</v>
      </c>
      <c r="AE37" s="7" t="s">
        <v>63</v>
      </c>
      <c r="AF37" s="15">
        <v>0.1189238764903699</v>
      </c>
      <c r="AG37" s="15">
        <v>6.3998764903698963E-3</v>
      </c>
      <c r="AH37" s="15">
        <v>2.0251620130403634E-2</v>
      </c>
      <c r="AJ37" s="7" t="s">
        <v>21</v>
      </c>
      <c r="AK37" s="15">
        <v>6.6433566433566432E-2</v>
      </c>
      <c r="AL37" s="15">
        <v>9.645566433566434E-3</v>
      </c>
      <c r="AM37" s="15">
        <v>4.1675775173871894E-2</v>
      </c>
      <c r="AO37" s="7" t="s">
        <v>18</v>
      </c>
      <c r="AP37" s="15">
        <v>0.1386138613861386</v>
      </c>
      <c r="AQ37" s="15">
        <v>2.5187861386138599E-2</v>
      </c>
      <c r="AR37" s="15">
        <v>7.9426658550328114E-2</v>
      </c>
      <c r="AT37" s="7" t="s">
        <v>55</v>
      </c>
      <c r="AU37" s="15">
        <v>3.2081749049429648E-2</v>
      </c>
      <c r="AV37" s="15">
        <v>4.3387490494296473E-3</v>
      </c>
      <c r="AW37" s="15">
        <v>2.6417127675533655E-2</v>
      </c>
      <c r="AY37" s="7" t="s">
        <v>12</v>
      </c>
      <c r="AZ37" s="15">
        <v>0.43835616438356162</v>
      </c>
      <c r="BA37" s="15">
        <v>1.8004164383561616E-2</v>
      </c>
      <c r="BB37" s="15">
        <v>3.6473142495080539E-2</v>
      </c>
    </row>
    <row r="38" spans="1:54" x14ac:dyDescent="0.2">
      <c r="A38" s="1" t="s">
        <v>34</v>
      </c>
      <c r="B38" s="15">
        <v>0.1103499627699181</v>
      </c>
      <c r="C38" s="15">
        <v>0.12671965759706511</v>
      </c>
      <c r="D38" s="15">
        <v>0.13636363636363641</v>
      </c>
      <c r="E38" s="15">
        <v>0.11881188118811881</v>
      </c>
      <c r="F38" s="15">
        <v>0.1105038022813688</v>
      </c>
      <c r="G38" s="15">
        <v>0.13367973547472839</v>
      </c>
      <c r="H38" s="15">
        <v>0.118634</v>
      </c>
      <c r="J38" s="1" t="s">
        <v>34</v>
      </c>
      <c r="K38" s="11">
        <f t="shared" si="1"/>
        <v>-8.284037230081906E-3</v>
      </c>
      <c r="L38" s="11">
        <f t="shared" si="2"/>
        <v>8.0856575970651018E-3</v>
      </c>
      <c r="M38" s="11">
        <f t="shared" si="3"/>
        <v>1.7729636363636406E-2</v>
      </c>
      <c r="N38" s="11">
        <f t="shared" si="4"/>
        <v>1.7788118811880305E-4</v>
      </c>
      <c r="O38" s="11">
        <f t="shared" si="5"/>
        <v>-8.1301977186312019E-3</v>
      </c>
      <c r="P38" s="11">
        <f t="shared" si="6"/>
        <v>1.5045735474728386E-2</v>
      </c>
      <c r="U38" s="3">
        <v>35</v>
      </c>
      <c r="V38" s="4" t="s">
        <v>34</v>
      </c>
      <c r="W38" s="5">
        <v>0.118634</v>
      </c>
      <c r="X38" s="5">
        <v>0.32336500000000001</v>
      </c>
      <c r="Z38" s="7" t="s">
        <v>47</v>
      </c>
      <c r="AA38" s="15">
        <v>7.4758004467609829E-2</v>
      </c>
      <c r="AB38" s="15">
        <v>2.4460044676098275E-3</v>
      </c>
      <c r="AC38" s="15">
        <v>9.4436680730853144E-3</v>
      </c>
      <c r="AE38" s="7" t="s">
        <v>64</v>
      </c>
      <c r="AF38" s="15">
        <v>0.11342097217976151</v>
      </c>
      <c r="AG38" s="15">
        <v>6.0049721797615085E-3</v>
      </c>
      <c r="AH38" s="15">
        <v>1.9392773065595056E-2</v>
      </c>
      <c r="AJ38" s="7" t="s">
        <v>58</v>
      </c>
      <c r="AK38" s="15">
        <v>3.4965034965034968E-2</v>
      </c>
      <c r="AL38" s="15">
        <v>6.5710349650349685E-3</v>
      </c>
      <c r="AM38" s="15">
        <v>3.9560716225376089E-2</v>
      </c>
      <c r="AO38" s="7" t="s">
        <v>0</v>
      </c>
      <c r="AP38" s="15">
        <v>9.9009900990099011E-3</v>
      </c>
      <c r="AQ38" s="15">
        <v>4.6429900990099015E-3</v>
      </c>
      <c r="AR38" s="15">
        <v>6.4197086707177442E-2</v>
      </c>
      <c r="AT38" s="7" t="s">
        <v>68</v>
      </c>
      <c r="AU38" s="15">
        <v>0.1247623574144487</v>
      </c>
      <c r="AV38" s="15">
        <v>8.0813574144486949E-3</v>
      </c>
      <c r="AW38" s="15">
        <v>2.5171804261196751E-2</v>
      </c>
      <c r="AY38" s="7" t="s">
        <v>30</v>
      </c>
      <c r="AZ38" s="15">
        <v>0.14265470004723671</v>
      </c>
      <c r="BA38" s="15">
        <v>1.1801700047236713E-2</v>
      </c>
      <c r="BB38" s="15">
        <v>3.4994129089680928E-2</v>
      </c>
    </row>
    <row r="39" spans="1:54" x14ac:dyDescent="0.2">
      <c r="A39" s="1" t="s">
        <v>35</v>
      </c>
      <c r="B39" s="15">
        <v>0.1244973938942666</v>
      </c>
      <c r="C39" s="15">
        <v>0.11082237847752981</v>
      </c>
      <c r="D39" s="15">
        <v>9.0909090909090912E-2</v>
      </c>
      <c r="E39" s="15">
        <v>0.11881188118811881</v>
      </c>
      <c r="F39" s="15">
        <v>0.1119296577946768</v>
      </c>
      <c r="G39" s="15">
        <v>0.1062824752007558</v>
      </c>
      <c r="H39" s="15">
        <v>0.114928</v>
      </c>
      <c r="J39" s="1" t="s">
        <v>35</v>
      </c>
      <c r="K39" s="11">
        <f t="shared" si="1"/>
        <v>9.5693938942666007E-3</v>
      </c>
      <c r="L39" s="11">
        <f t="shared" si="2"/>
        <v>-4.1056215224701958E-3</v>
      </c>
      <c r="M39" s="11">
        <f t="shared" si="3"/>
        <v>-2.4018909090909091E-2</v>
      </c>
      <c r="N39" s="11">
        <f t="shared" si="4"/>
        <v>3.883881188118804E-3</v>
      </c>
      <c r="O39" s="11">
        <f t="shared" si="5"/>
        <v>-2.9983422053232039E-3</v>
      </c>
      <c r="P39" s="11">
        <f t="shared" si="6"/>
        <v>-8.6455247992442003E-3</v>
      </c>
      <c r="U39" s="3">
        <v>36</v>
      </c>
      <c r="V39" s="4" t="s">
        <v>35</v>
      </c>
      <c r="W39" s="5">
        <v>0.114928</v>
      </c>
      <c r="X39" s="5">
        <v>0.31894299999999998</v>
      </c>
      <c r="Z39" s="7" t="s">
        <v>32</v>
      </c>
      <c r="AA39" s="15">
        <v>0.12151898734177211</v>
      </c>
      <c r="AB39" s="15">
        <v>2.9849873417721051E-3</v>
      </c>
      <c r="AC39" s="15">
        <v>9.2343852898003845E-3</v>
      </c>
      <c r="AE39" s="7" t="s">
        <v>89</v>
      </c>
      <c r="AF39" s="15">
        <v>7.3372057474778351E-3</v>
      </c>
      <c r="AG39" s="15">
        <v>1.4282057474778349E-3</v>
      </c>
      <c r="AH39" s="15">
        <v>1.8633793641910014E-2</v>
      </c>
      <c r="AJ39" s="7" t="s">
        <v>103</v>
      </c>
      <c r="AK39" s="15">
        <v>3.4965034965034968E-2</v>
      </c>
      <c r="AL39" s="15">
        <v>6.5710349650349685E-3</v>
      </c>
      <c r="AM39" s="15">
        <v>3.9560716225376089E-2</v>
      </c>
      <c r="AO39" s="7" t="s">
        <v>5</v>
      </c>
      <c r="AP39" s="15">
        <v>0.198019801980198</v>
      </c>
      <c r="AQ39" s="15">
        <v>2.0844801980198002E-2</v>
      </c>
      <c r="AR39" s="15">
        <v>5.4592411151147387E-2</v>
      </c>
      <c r="AT39" s="7" t="s">
        <v>62</v>
      </c>
      <c r="AU39" s="15">
        <v>0.11097908745247149</v>
      </c>
      <c r="AV39" s="15">
        <v>7.5190874524714985E-3</v>
      </c>
      <c r="AW39" s="15">
        <v>2.4687794319382925E-2</v>
      </c>
      <c r="AY39" s="7" t="s">
        <v>19</v>
      </c>
      <c r="AZ39" s="15">
        <v>0.13367973547472839</v>
      </c>
      <c r="BA39" s="15">
        <v>1.1239735474728396E-2</v>
      </c>
      <c r="BB39" s="15">
        <v>3.428828915936314E-2</v>
      </c>
    </row>
    <row r="40" spans="1:54" x14ac:dyDescent="0.2">
      <c r="A40" s="1" t="s">
        <v>36</v>
      </c>
      <c r="B40" s="15">
        <v>0.10573343261355179</v>
      </c>
      <c r="C40" s="15">
        <v>0.11418526444512379</v>
      </c>
      <c r="D40" s="15">
        <v>9.0909090909090912E-2</v>
      </c>
      <c r="E40" s="15">
        <v>8.9108910891089105E-2</v>
      </c>
      <c r="F40" s="15">
        <v>0.1128802281368821</v>
      </c>
      <c r="G40" s="15">
        <v>0.12564950401511571</v>
      </c>
      <c r="H40" s="15">
        <v>0.11182300000000001</v>
      </c>
      <c r="J40" s="1" t="s">
        <v>36</v>
      </c>
      <c r="K40" s="11">
        <f t="shared" si="1"/>
        <v>-6.0895673864482108E-3</v>
      </c>
      <c r="L40" s="11">
        <f t="shared" si="2"/>
        <v>2.3622644451237879E-3</v>
      </c>
      <c r="M40" s="11">
        <f t="shared" si="3"/>
        <v>-2.0913909090909094E-2</v>
      </c>
      <c r="N40" s="11">
        <f t="shared" si="4"/>
        <v>-2.2714089108910901E-2</v>
      </c>
      <c r="O40" s="11">
        <f t="shared" si="5"/>
        <v>1.0572281368820963E-3</v>
      </c>
      <c r="P40" s="11">
        <f t="shared" si="6"/>
        <v>1.3826504015115704E-2</v>
      </c>
      <c r="U40" s="3">
        <v>37</v>
      </c>
      <c r="V40" s="4" t="s">
        <v>36</v>
      </c>
      <c r="W40" s="5">
        <v>0.11182300000000001</v>
      </c>
      <c r="X40" s="5">
        <v>0.31515700000000002</v>
      </c>
      <c r="Z40" s="7" t="s">
        <v>14</v>
      </c>
      <c r="AA40" s="15">
        <v>0.26612062546537602</v>
      </c>
      <c r="AB40" s="15">
        <v>3.9646254653760149E-3</v>
      </c>
      <c r="AC40" s="15">
        <v>9.0142410391935192E-3</v>
      </c>
      <c r="AE40" s="7" t="s">
        <v>28</v>
      </c>
      <c r="AF40" s="15">
        <v>0.43962091103638029</v>
      </c>
      <c r="AG40" s="15">
        <v>8.652911036380273E-3</v>
      </c>
      <c r="AH40" s="15">
        <v>1.7472721508610796E-2</v>
      </c>
      <c r="AJ40" s="7" t="s">
        <v>45</v>
      </c>
      <c r="AK40" s="15">
        <v>0.1398601398601399</v>
      </c>
      <c r="AL40" s="15">
        <v>1.3114139860139901E-2</v>
      </c>
      <c r="AM40" s="15">
        <v>3.9417667908456945E-2</v>
      </c>
      <c r="AO40" s="7" t="s">
        <v>16</v>
      </c>
      <c r="AP40" s="15">
        <v>0.12871287128712869</v>
      </c>
      <c r="AQ40" s="15">
        <v>1.643887128712869E-2</v>
      </c>
      <c r="AR40" s="15">
        <v>5.2069364979771653E-2</v>
      </c>
      <c r="AT40" s="7" t="s">
        <v>3</v>
      </c>
      <c r="AU40" s="15">
        <v>0.1720532319391635</v>
      </c>
      <c r="AV40" s="15">
        <v>7.7482319391634913E-3</v>
      </c>
      <c r="AW40" s="15">
        <v>2.0909464134551373E-2</v>
      </c>
      <c r="AY40" s="7" t="s">
        <v>67</v>
      </c>
      <c r="AZ40" s="15">
        <v>0.12990080302314599</v>
      </c>
      <c r="BA40" s="15">
        <v>1.0114803023145991E-2</v>
      </c>
      <c r="BB40" s="15">
        <v>3.1149403093585503E-2</v>
      </c>
    </row>
    <row r="41" spans="1:54" x14ac:dyDescent="0.2">
      <c r="A41" s="1" t="s">
        <v>37</v>
      </c>
      <c r="B41" s="15">
        <v>0.1040953090096798</v>
      </c>
      <c r="C41" s="15">
        <v>0.1053194741669214</v>
      </c>
      <c r="D41" s="15">
        <v>8.3916083916083919E-2</v>
      </c>
      <c r="E41" s="15">
        <v>9.9009900990099015E-2</v>
      </c>
      <c r="F41" s="15">
        <v>0.1133555133079848</v>
      </c>
      <c r="G41" s="15">
        <v>0.1218705715635333</v>
      </c>
      <c r="H41" s="15">
        <v>0.108017</v>
      </c>
      <c r="J41" s="1" t="s">
        <v>37</v>
      </c>
      <c r="K41" s="11">
        <f t="shared" si="1"/>
        <v>-3.9216909903202063E-3</v>
      </c>
      <c r="L41" s="11">
        <f t="shared" si="2"/>
        <v>-2.6975258330785984E-3</v>
      </c>
      <c r="M41" s="11">
        <f t="shared" si="3"/>
        <v>-2.4100916083916082E-2</v>
      </c>
      <c r="N41" s="11">
        <f t="shared" si="4"/>
        <v>-9.0070990099009873E-3</v>
      </c>
      <c r="O41" s="11">
        <f t="shared" si="5"/>
        <v>5.3385133079847935E-3</v>
      </c>
      <c r="P41" s="11">
        <f t="shared" si="6"/>
        <v>1.3853571563533298E-2</v>
      </c>
      <c r="U41" s="3">
        <v>38</v>
      </c>
      <c r="V41" s="4" t="s">
        <v>37</v>
      </c>
      <c r="W41" s="5">
        <v>0.108017</v>
      </c>
      <c r="X41" s="5">
        <v>0.31041000000000002</v>
      </c>
      <c r="Z41" s="7" t="s">
        <v>5</v>
      </c>
      <c r="AA41" s="15">
        <v>0.18004467609828739</v>
      </c>
      <c r="AB41" s="15">
        <v>2.8696760982873937E-3</v>
      </c>
      <c r="AC41" s="15">
        <v>7.5156644604804116E-3</v>
      </c>
      <c r="AE41" s="7" t="s">
        <v>61</v>
      </c>
      <c r="AF41" s="15">
        <v>0.11479669825741361</v>
      </c>
      <c r="AG41" s="15">
        <v>5.4266982574136119E-3</v>
      </c>
      <c r="AH41" s="15">
        <v>1.7387133566414442E-2</v>
      </c>
      <c r="AJ41" s="7" t="s">
        <v>64</v>
      </c>
      <c r="AK41" s="15">
        <v>0.11888111888111889</v>
      </c>
      <c r="AL41" s="15">
        <v>1.1465118881118896E-2</v>
      </c>
      <c r="AM41" s="15">
        <v>3.7026058069171315E-2</v>
      </c>
      <c r="AO41" s="7" t="s">
        <v>2</v>
      </c>
      <c r="AP41" s="15">
        <v>0.18811881188118809</v>
      </c>
      <c r="AQ41" s="15">
        <v>1.9306811881188102E-2</v>
      </c>
      <c r="AR41" s="15">
        <v>5.154049541821995E-2</v>
      </c>
      <c r="AT41" s="7" t="s">
        <v>15</v>
      </c>
      <c r="AU41" s="15">
        <v>0.39401140684410652</v>
      </c>
      <c r="AV41" s="15">
        <v>9.3654068441065275E-3</v>
      </c>
      <c r="AW41" s="15">
        <v>1.9249629708105925E-2</v>
      </c>
      <c r="AY41" s="7" t="s">
        <v>21</v>
      </c>
      <c r="AZ41" s="15">
        <v>6.3769485120453467E-2</v>
      </c>
      <c r="BA41" s="15">
        <v>6.9814851204534692E-3</v>
      </c>
      <c r="BB41" s="15">
        <v>3.0165030355005201E-2</v>
      </c>
    </row>
    <row r="42" spans="1:54" x14ac:dyDescent="0.2">
      <c r="A42" s="1" t="s">
        <v>38</v>
      </c>
      <c r="B42" s="15">
        <v>9.6500372300819065E-2</v>
      </c>
      <c r="C42" s="15">
        <v>0.1057780495261388</v>
      </c>
      <c r="D42" s="15">
        <v>9.0909090909090912E-2</v>
      </c>
      <c r="E42" s="15">
        <v>0.12871287128712869</v>
      </c>
      <c r="F42" s="15">
        <v>0.1007604562737643</v>
      </c>
      <c r="G42" s="15">
        <v>0.11525743977326409</v>
      </c>
      <c r="H42" s="15">
        <v>0.102509</v>
      </c>
      <c r="J42" s="1" t="s">
        <v>38</v>
      </c>
      <c r="K42" s="11">
        <f t="shared" si="1"/>
        <v>-6.0086276991809379E-3</v>
      </c>
      <c r="L42" s="11">
        <f t="shared" si="2"/>
        <v>3.2690495261387953E-3</v>
      </c>
      <c r="M42" s="11">
        <f t="shared" si="3"/>
        <v>-1.1599909090909091E-2</v>
      </c>
      <c r="N42" s="11">
        <f t="shared" si="4"/>
        <v>2.6203871287128686E-2</v>
      </c>
      <c r="O42" s="11">
        <f t="shared" si="5"/>
        <v>-1.7485437262357018E-3</v>
      </c>
      <c r="P42" s="11">
        <f t="shared" si="6"/>
        <v>1.2748439773264092E-2</v>
      </c>
      <c r="U42" s="3">
        <v>39</v>
      </c>
      <c r="V42" s="4" t="s">
        <v>38</v>
      </c>
      <c r="W42" s="5">
        <v>0.102509</v>
      </c>
      <c r="X42" s="5">
        <v>0.30332399999999998</v>
      </c>
      <c r="Z42" s="7" t="s">
        <v>22</v>
      </c>
      <c r="AA42" s="15">
        <v>0.11898734177215189</v>
      </c>
      <c r="AB42" s="15">
        <v>1.9063417721518899E-3</v>
      </c>
      <c r="AC42" s="15">
        <v>5.9290623502119269E-3</v>
      </c>
      <c r="AE42" s="7" t="s">
        <v>15</v>
      </c>
      <c r="AF42" s="15">
        <v>0.39284622439620909</v>
      </c>
      <c r="AG42" s="15">
        <v>8.2002243962090993E-3</v>
      </c>
      <c r="AH42" s="15">
        <v>1.6854717128464574E-2</v>
      </c>
      <c r="AJ42" s="7" t="s">
        <v>44</v>
      </c>
      <c r="AK42" s="15">
        <v>0.26923076923076922</v>
      </c>
      <c r="AL42" s="15">
        <v>1.3584769230769234E-2</v>
      </c>
      <c r="AM42" s="15">
        <v>3.1140942910975127E-2</v>
      </c>
      <c r="AO42" s="7" t="s">
        <v>24</v>
      </c>
      <c r="AP42" s="15">
        <v>3.9603960396039598E-2</v>
      </c>
      <c r="AQ42" s="15">
        <v>6.502960396039599E-3</v>
      </c>
      <c r="AR42" s="15">
        <v>3.6348475713724515E-2</v>
      </c>
      <c r="AT42" s="7" t="s">
        <v>40</v>
      </c>
      <c r="AU42" s="15">
        <v>0.13046577946768059</v>
      </c>
      <c r="AV42" s="15">
        <v>6.2737794676805958E-3</v>
      </c>
      <c r="AW42" s="15">
        <v>1.9022462903318573E-2</v>
      </c>
      <c r="AY42" s="7" t="s">
        <v>92</v>
      </c>
      <c r="AZ42" s="15">
        <v>1.6060462919225318E-2</v>
      </c>
      <c r="BA42" s="15">
        <v>3.0904629192253178E-3</v>
      </c>
      <c r="BB42" s="15">
        <v>2.7313455997678419E-2</v>
      </c>
    </row>
    <row r="43" spans="1:54" x14ac:dyDescent="0.2">
      <c r="A43" s="1" t="s">
        <v>39</v>
      </c>
      <c r="B43" s="15">
        <v>8.0714817572598657E-2</v>
      </c>
      <c r="C43" s="15">
        <v>8.315499847141547E-2</v>
      </c>
      <c r="D43" s="15">
        <v>0.1118881118881119</v>
      </c>
      <c r="E43" s="15">
        <v>5.9405940594059403E-2</v>
      </c>
      <c r="F43" s="15">
        <v>7.9847908745247151E-2</v>
      </c>
      <c r="G43" s="15">
        <v>9.5418044402456312E-2</v>
      </c>
      <c r="H43" s="15">
        <v>8.3228999999999997E-2</v>
      </c>
      <c r="J43" s="1" t="s">
        <v>39</v>
      </c>
      <c r="K43" s="11">
        <f t="shared" si="1"/>
        <v>-2.5141824274013402E-3</v>
      </c>
      <c r="L43" s="11">
        <f t="shared" si="2"/>
        <v>-7.4001528584527465E-5</v>
      </c>
      <c r="M43" s="11">
        <f t="shared" si="3"/>
        <v>2.8659111888111904E-2</v>
      </c>
      <c r="N43" s="11">
        <f t="shared" si="4"/>
        <v>-2.3823059405940594E-2</v>
      </c>
      <c r="O43" s="11">
        <f t="shared" si="5"/>
        <v>-3.3810912547528466E-3</v>
      </c>
      <c r="P43" s="11">
        <f t="shared" si="6"/>
        <v>1.2189044402456314E-2</v>
      </c>
      <c r="U43" s="3">
        <v>40</v>
      </c>
      <c r="V43" s="4" t="s">
        <v>39</v>
      </c>
      <c r="W43" s="5">
        <v>8.3228999999999997E-2</v>
      </c>
      <c r="X43" s="5">
        <v>0.27623500000000001</v>
      </c>
      <c r="Z43" s="7" t="s">
        <v>23</v>
      </c>
      <c r="AA43" s="15">
        <v>8.9352196574832461E-3</v>
      </c>
      <c r="AB43" s="15">
        <v>5.2221965748324578E-4</v>
      </c>
      <c r="AC43" s="15">
        <v>5.7174413440544544E-3</v>
      </c>
      <c r="AE43" s="7" t="s">
        <v>4</v>
      </c>
      <c r="AF43" s="15">
        <v>0.16493427086517881</v>
      </c>
      <c r="AG43" s="15">
        <v>6.038270865178802E-3</v>
      </c>
      <c r="AH43" s="15">
        <v>1.6516555107453458E-2</v>
      </c>
      <c r="AJ43" s="7" t="s">
        <v>31</v>
      </c>
      <c r="AK43" s="15">
        <v>0.1293706293706294</v>
      </c>
      <c r="AL43" s="15">
        <v>9.0336293706294035E-3</v>
      </c>
      <c r="AM43" s="15">
        <v>2.776477156477351E-2</v>
      </c>
      <c r="AO43" s="7" t="s">
        <v>22</v>
      </c>
      <c r="AP43" s="15">
        <v>0.12871287128712869</v>
      </c>
      <c r="AQ43" s="15">
        <v>1.1631871287128684E-2</v>
      </c>
      <c r="AR43" s="15">
        <v>3.6177190847146205E-2</v>
      </c>
      <c r="AT43" s="7" t="s">
        <v>37</v>
      </c>
      <c r="AU43" s="15">
        <v>0.1133555133079848</v>
      </c>
      <c r="AV43" s="15">
        <v>5.3385133079847935E-3</v>
      </c>
      <c r="AW43" s="15">
        <v>1.7198264579056065E-2</v>
      </c>
      <c r="AY43" s="7" t="s">
        <v>76</v>
      </c>
      <c r="AZ43" s="15">
        <v>6.471421823334908E-2</v>
      </c>
      <c r="BA43" s="15">
        <v>4.7712182333490769E-3</v>
      </c>
      <c r="BB43" s="15">
        <v>2.0098902776264398E-2</v>
      </c>
    </row>
    <row r="44" spans="1:54" x14ac:dyDescent="0.2">
      <c r="A44" s="1" t="s">
        <v>40</v>
      </c>
      <c r="B44" s="15">
        <v>0.11749813849590469</v>
      </c>
      <c r="C44" s="15">
        <v>0.13757260776520941</v>
      </c>
      <c r="D44" s="15">
        <v>0.1083916083916084</v>
      </c>
      <c r="E44" s="15">
        <v>9.9009900990099015E-2</v>
      </c>
      <c r="F44" s="15">
        <v>0.13046577946768059</v>
      </c>
      <c r="G44" s="15">
        <v>9.4945677846008505E-2</v>
      </c>
      <c r="H44" s="15">
        <v>0.124192</v>
      </c>
      <c r="J44" s="1" t="s">
        <v>40</v>
      </c>
      <c r="K44" s="11">
        <f t="shared" si="1"/>
        <v>-6.6938615040953026E-3</v>
      </c>
      <c r="L44" s="11">
        <f t="shared" si="2"/>
        <v>1.3380607765209412E-2</v>
      </c>
      <c r="M44" s="11">
        <f t="shared" si="3"/>
        <v>-1.5800391608391598E-2</v>
      </c>
      <c r="N44" s="11">
        <f t="shared" si="4"/>
        <v>-2.5182099009900982E-2</v>
      </c>
      <c r="O44" s="11">
        <f t="shared" si="5"/>
        <v>6.2737794676805958E-3</v>
      </c>
      <c r="P44" s="11">
        <f t="shared" si="6"/>
        <v>-2.9246322153991491E-2</v>
      </c>
      <c r="U44" s="3">
        <v>41</v>
      </c>
      <c r="V44" s="4" t="s">
        <v>40</v>
      </c>
      <c r="W44" s="5">
        <v>0.124192</v>
      </c>
      <c r="X44" s="5">
        <v>0.32980900000000002</v>
      </c>
      <c r="Z44" s="7" t="s">
        <v>41</v>
      </c>
      <c r="AA44" s="15">
        <v>0.14772896500372301</v>
      </c>
      <c r="AB44" s="15">
        <v>1.3519650037230047E-3</v>
      </c>
      <c r="AC44" s="15">
        <v>3.8245877675739115E-3</v>
      </c>
      <c r="AE44" s="7" t="s">
        <v>14</v>
      </c>
      <c r="AF44" s="15">
        <v>0.267808009782941</v>
      </c>
      <c r="AG44" s="15">
        <v>5.6520097829410032E-3</v>
      </c>
      <c r="AH44" s="15">
        <v>1.2850792334422427E-2</v>
      </c>
      <c r="AJ44" s="7" t="s">
        <v>20</v>
      </c>
      <c r="AK44" s="15">
        <v>0.12587412587412589</v>
      </c>
      <c r="AL44" s="15">
        <v>8.1421258741258828E-3</v>
      </c>
      <c r="AM44" s="15">
        <v>2.5262647026909432E-2</v>
      </c>
      <c r="AO44" s="7" t="s">
        <v>27</v>
      </c>
      <c r="AP44" s="15">
        <v>9.9009900990099015E-2</v>
      </c>
      <c r="AQ44" s="15">
        <v>9.1209009900990179E-3</v>
      </c>
      <c r="AR44" s="15">
        <v>3.1887917316711596E-2</v>
      </c>
      <c r="AT44" s="7" t="s">
        <v>43</v>
      </c>
      <c r="AU44" s="15">
        <v>3.3032319391634979E-2</v>
      </c>
      <c r="AV44" s="15">
        <v>2.8853193916349787E-3</v>
      </c>
      <c r="AW44" s="15">
        <v>1.6873706199801039E-2</v>
      </c>
      <c r="AY44" s="7" t="s">
        <v>25</v>
      </c>
      <c r="AZ44" s="15">
        <v>0.1195087387812943</v>
      </c>
      <c r="BA44" s="15">
        <v>6.0327387812943029E-3</v>
      </c>
      <c r="BB44" s="15">
        <v>1.9019801821333816E-2</v>
      </c>
    </row>
    <row r="45" spans="1:54" x14ac:dyDescent="0.2">
      <c r="A45" s="1" t="s">
        <v>41</v>
      </c>
      <c r="B45" s="15">
        <v>0.14772896500372301</v>
      </c>
      <c r="C45" s="15">
        <v>0.16218281870987469</v>
      </c>
      <c r="D45" s="15">
        <v>0.13636363636363641</v>
      </c>
      <c r="E45" s="15">
        <v>0.18811881188118809</v>
      </c>
      <c r="F45" s="15">
        <v>0.16064638783269961</v>
      </c>
      <c r="G45" s="15">
        <v>6.4241851676901274E-2</v>
      </c>
      <c r="H45" s="15">
        <v>0.14637700000000001</v>
      </c>
      <c r="J45" s="1" t="s">
        <v>41</v>
      </c>
      <c r="K45" s="11">
        <f t="shared" si="1"/>
        <v>1.3519650037230047E-3</v>
      </c>
      <c r="L45" s="11">
        <f t="shared" si="2"/>
        <v>1.5805818709874686E-2</v>
      </c>
      <c r="M45" s="11">
        <f t="shared" si="3"/>
        <v>-1.0013363636363598E-2</v>
      </c>
      <c r="N45" s="11">
        <f t="shared" si="4"/>
        <v>4.1741811881188084E-2</v>
      </c>
      <c r="O45" s="11">
        <f t="shared" si="5"/>
        <v>1.4269387832699598E-2</v>
      </c>
      <c r="P45" s="11">
        <f t="shared" si="6"/>
        <v>-8.2135148323098733E-2</v>
      </c>
      <c r="U45" s="3">
        <v>42</v>
      </c>
      <c r="V45" s="4" t="s">
        <v>41</v>
      </c>
      <c r="W45" s="5">
        <v>0.14637700000000001</v>
      </c>
      <c r="X45" s="5">
        <v>0.353493</v>
      </c>
      <c r="Z45" s="7" t="s">
        <v>48</v>
      </c>
      <c r="AA45" s="15">
        <v>2.472077438570365E-2</v>
      </c>
      <c r="AB45" s="15">
        <v>3.2774385703648878E-5</v>
      </c>
      <c r="AC45" s="15">
        <v>2.1120646554353335E-4</v>
      </c>
      <c r="AE45" s="7" t="s">
        <v>2</v>
      </c>
      <c r="AF45" s="15">
        <v>0.17303576887801889</v>
      </c>
      <c r="AG45" s="15">
        <v>4.2237688780188964E-3</v>
      </c>
      <c r="AH45" s="15">
        <v>1.127556128090043E-2</v>
      </c>
      <c r="AJ45" s="7" t="s">
        <v>8</v>
      </c>
      <c r="AK45" s="15">
        <v>1.3986013986013989E-2</v>
      </c>
      <c r="AL45" s="15">
        <v>1.4670139860139889E-3</v>
      </c>
      <c r="AM45" s="15">
        <v>1.3193758305728833E-2</v>
      </c>
      <c r="AO45" s="7" t="s">
        <v>7</v>
      </c>
      <c r="AP45" s="15">
        <v>9.9009900990099011E-3</v>
      </c>
      <c r="AQ45" s="15">
        <v>1.4879900990099008E-3</v>
      </c>
      <c r="AR45" s="15">
        <v>1.6291030009523973E-2</v>
      </c>
      <c r="AT45" s="7" t="s">
        <v>33</v>
      </c>
      <c r="AU45" s="15">
        <v>0.12690114068441061</v>
      </c>
      <c r="AV45" s="15">
        <v>4.9121406844106069E-3</v>
      </c>
      <c r="AW45" s="15">
        <v>1.5008939365287343E-2</v>
      </c>
      <c r="AY45" s="7" t="s">
        <v>88</v>
      </c>
      <c r="AZ45" s="15">
        <v>0.36513934813415211</v>
      </c>
      <c r="BA45" s="15">
        <v>9.0873481341521289E-3</v>
      </c>
      <c r="BB45" s="15">
        <v>1.8977719490839647E-2</v>
      </c>
    </row>
    <row r="46" spans="1:54" x14ac:dyDescent="0.2">
      <c r="A46" s="1" t="s">
        <v>42</v>
      </c>
      <c r="B46" s="15">
        <v>8.4735666418466124E-2</v>
      </c>
      <c r="C46" s="15">
        <v>0.10088657902782019</v>
      </c>
      <c r="D46" s="15">
        <v>0.11888111888111889</v>
      </c>
      <c r="E46" s="15">
        <v>0.14851485148514851</v>
      </c>
      <c r="F46" s="15">
        <v>9.8146387832699619E-2</v>
      </c>
      <c r="G46" s="15">
        <v>1.3226263580538499E-2</v>
      </c>
      <c r="H46" s="15">
        <v>8.6083000000000007E-2</v>
      </c>
      <c r="J46" s="1" t="s">
        <v>42</v>
      </c>
      <c r="K46" s="11">
        <f t="shared" si="1"/>
        <v>-1.3473335815338827E-3</v>
      </c>
      <c r="L46" s="11">
        <f t="shared" si="2"/>
        <v>1.4803579027820188E-2</v>
      </c>
      <c r="M46" s="11">
        <f t="shared" si="3"/>
        <v>3.2798118881118887E-2</v>
      </c>
      <c r="N46" s="11">
        <f t="shared" si="4"/>
        <v>6.2431851485148501E-2</v>
      </c>
      <c r="O46" s="11">
        <f t="shared" si="5"/>
        <v>1.2063387832699612E-2</v>
      </c>
      <c r="P46" s="11">
        <f t="shared" si="6"/>
        <v>-7.2856736419461512E-2</v>
      </c>
      <c r="U46" s="3">
        <v>43</v>
      </c>
      <c r="V46" s="4" t="s">
        <v>42</v>
      </c>
      <c r="W46" s="5">
        <v>8.6083000000000007E-2</v>
      </c>
      <c r="X46" s="5">
        <v>0.28049400000000002</v>
      </c>
      <c r="Z46" s="7" t="s">
        <v>89</v>
      </c>
      <c r="AA46" s="15">
        <v>5.80789277736411E-3</v>
      </c>
      <c r="AB46" s="15">
        <v>-1.0110722263589021E-4</v>
      </c>
      <c r="AC46" s="15">
        <v>-1.3191454561998044E-3</v>
      </c>
      <c r="AE46" s="7" t="s">
        <v>100</v>
      </c>
      <c r="AF46" s="15">
        <v>6.5881993274228071E-2</v>
      </c>
      <c r="AG46" s="15">
        <v>2.6339932742280719E-3</v>
      </c>
      <c r="AH46" s="15">
        <v>1.0820998189216243E-2</v>
      </c>
      <c r="AJ46" s="7" t="s">
        <v>33</v>
      </c>
      <c r="AK46" s="15">
        <v>0.12587412587412589</v>
      </c>
      <c r="AL46" s="15">
        <v>3.8851258741258859E-3</v>
      </c>
      <c r="AM46" s="15">
        <v>1.1870917878293839E-2</v>
      </c>
      <c r="AO46" s="7" t="s">
        <v>35</v>
      </c>
      <c r="AP46" s="15">
        <v>0.11881188118811881</v>
      </c>
      <c r="AQ46" s="15">
        <v>3.883881188118804E-3</v>
      </c>
      <c r="AR46" s="15">
        <v>1.2177352028791364E-2</v>
      </c>
      <c r="AT46" s="7" t="s">
        <v>19</v>
      </c>
      <c r="AU46" s="15">
        <v>0.1266634980988593</v>
      </c>
      <c r="AV46" s="15">
        <v>4.2234980988593018E-3</v>
      </c>
      <c r="AW46" s="15">
        <v>1.2884335614776348E-2</v>
      </c>
      <c r="AY46" s="7" t="s">
        <v>81</v>
      </c>
      <c r="AZ46" s="15">
        <v>0.11809163911195091</v>
      </c>
      <c r="BA46" s="15">
        <v>5.8176391119509063E-3</v>
      </c>
      <c r="BB46" s="15">
        <v>1.8427102989604118E-2</v>
      </c>
    </row>
    <row r="47" spans="1:54" x14ac:dyDescent="0.2">
      <c r="A47" s="1" t="s">
        <v>43</v>
      </c>
      <c r="B47" s="15">
        <v>2.978406552494416E-2</v>
      </c>
      <c r="C47" s="15">
        <v>3.7908896361968807E-2</v>
      </c>
      <c r="D47" s="15">
        <v>1.748251748251748E-2</v>
      </c>
      <c r="E47" s="15">
        <v>9.9009900990099015E-2</v>
      </c>
      <c r="F47" s="15">
        <v>3.3032319391634979E-2</v>
      </c>
      <c r="G47" s="15">
        <v>0</v>
      </c>
      <c r="H47" s="15">
        <v>3.0147E-2</v>
      </c>
      <c r="J47" s="1" t="s">
        <v>43</v>
      </c>
      <c r="K47" s="11">
        <f t="shared" si="1"/>
        <v>-3.6293447505584067E-4</v>
      </c>
      <c r="L47" s="11">
        <f t="shared" si="2"/>
        <v>7.7618963619688064E-3</v>
      </c>
      <c r="M47" s="11">
        <f t="shared" si="3"/>
        <v>-1.266448251748252E-2</v>
      </c>
      <c r="N47" s="11">
        <f t="shared" si="4"/>
        <v>6.8862900990099007E-2</v>
      </c>
      <c r="O47" s="11">
        <f t="shared" si="5"/>
        <v>2.8853193916349787E-3</v>
      </c>
      <c r="P47" s="11">
        <f t="shared" si="6"/>
        <v>-3.0147E-2</v>
      </c>
      <c r="U47" s="3">
        <v>44</v>
      </c>
      <c r="V47" s="4" t="s">
        <v>43</v>
      </c>
      <c r="W47" s="5">
        <v>3.0147E-2</v>
      </c>
      <c r="X47" s="5">
        <v>0.17099500000000001</v>
      </c>
      <c r="Z47" s="7" t="s">
        <v>43</v>
      </c>
      <c r="AA47" s="15">
        <v>2.978406552494416E-2</v>
      </c>
      <c r="AB47" s="15">
        <v>-3.6293447505584067E-4</v>
      </c>
      <c r="AC47" s="15">
        <v>-2.1224858917268962E-3</v>
      </c>
      <c r="AE47" s="7" t="s">
        <v>38</v>
      </c>
      <c r="AF47" s="15">
        <v>0.1057780495261388</v>
      </c>
      <c r="AG47" s="15">
        <v>3.2690495261387953E-3</v>
      </c>
      <c r="AH47" s="15">
        <v>1.077741796276851E-2</v>
      </c>
      <c r="AJ47" s="7" t="s">
        <v>66</v>
      </c>
      <c r="AK47" s="15">
        <v>0.11888111888111889</v>
      </c>
      <c r="AL47" s="15">
        <v>3.7531188811188998E-3</v>
      </c>
      <c r="AM47" s="15">
        <v>1.1758443790024281E-2</v>
      </c>
      <c r="AO47" s="7" t="s">
        <v>55</v>
      </c>
      <c r="AP47" s="15">
        <v>2.9702970297029702E-2</v>
      </c>
      <c r="AQ47" s="15">
        <v>1.9599702970297013E-3</v>
      </c>
      <c r="AR47" s="15">
        <v>1.1933574628773145E-2</v>
      </c>
      <c r="AT47" s="7" t="s">
        <v>67</v>
      </c>
      <c r="AU47" s="15">
        <v>0.123574144486692</v>
      </c>
      <c r="AV47" s="15">
        <v>3.7881444866919994E-3</v>
      </c>
      <c r="AW47" s="15">
        <v>1.1665915720028701E-2</v>
      </c>
      <c r="AY47" s="7" t="s">
        <v>1</v>
      </c>
      <c r="AZ47" s="15">
        <v>0.15540859707132729</v>
      </c>
      <c r="BA47" s="15">
        <v>5.1755970713272814E-3</v>
      </c>
      <c r="BB47" s="15">
        <v>1.4484973947762941E-2</v>
      </c>
    </row>
    <row r="48" spans="1:54" x14ac:dyDescent="0.2">
      <c r="A48" s="1" t="s">
        <v>44</v>
      </c>
      <c r="B48" s="15">
        <v>0.28056589724497388</v>
      </c>
      <c r="C48" s="15">
        <v>0.2250076429226536</v>
      </c>
      <c r="D48" s="15">
        <v>0.26923076923076922</v>
      </c>
      <c r="E48" s="15">
        <v>0.1089108910891089</v>
      </c>
      <c r="F48" s="15">
        <v>0.25641634980988592</v>
      </c>
      <c r="G48" s="15">
        <v>0.27491733585262162</v>
      </c>
      <c r="H48" s="15">
        <v>0.25564599999999998</v>
      </c>
      <c r="J48" s="1" t="s">
        <v>44</v>
      </c>
      <c r="K48" s="11">
        <f t="shared" si="1"/>
        <v>2.4919897244973899E-2</v>
      </c>
      <c r="L48" s="11">
        <f t="shared" si="2"/>
        <v>-3.0638357077346384E-2</v>
      </c>
      <c r="M48" s="11">
        <f t="shared" si="3"/>
        <v>1.3584769230769234E-2</v>
      </c>
      <c r="N48" s="11">
        <f t="shared" si="4"/>
        <v>-0.14673510891089109</v>
      </c>
      <c r="O48" s="11">
        <f t="shared" si="5"/>
        <v>7.703498098859396E-4</v>
      </c>
      <c r="P48" s="11">
        <f t="shared" si="6"/>
        <v>1.9271335852621641E-2</v>
      </c>
      <c r="U48" s="3">
        <v>45</v>
      </c>
      <c r="V48" s="4" t="s">
        <v>44</v>
      </c>
      <c r="W48" s="5">
        <v>0.25564599999999998</v>
      </c>
      <c r="X48" s="5">
        <v>0.43623499999999998</v>
      </c>
      <c r="Z48" s="7" t="s">
        <v>2</v>
      </c>
      <c r="AA48" s="15">
        <v>0.16798212956068501</v>
      </c>
      <c r="AB48" s="15">
        <v>-8.2987043931498361E-4</v>
      </c>
      <c r="AC48" s="15">
        <v>-2.2153804490582726E-3</v>
      </c>
      <c r="AE48" s="7" t="s">
        <v>18</v>
      </c>
      <c r="AF48" s="15">
        <v>0.1164781412412106</v>
      </c>
      <c r="AG48" s="15">
        <v>3.0521412412106014E-3</v>
      </c>
      <c r="AH48" s="15">
        <v>9.6245320909387946E-3</v>
      </c>
      <c r="AJ48" s="7" t="s">
        <v>15</v>
      </c>
      <c r="AK48" s="15">
        <v>0.38811188811188813</v>
      </c>
      <c r="AL48" s="15">
        <v>3.4658881118881379E-3</v>
      </c>
      <c r="AM48" s="15">
        <v>7.1237762410243646E-3</v>
      </c>
      <c r="AO48" s="7" t="s">
        <v>21</v>
      </c>
      <c r="AP48" s="15">
        <v>5.9405940594059403E-2</v>
      </c>
      <c r="AQ48" s="15">
        <v>2.617940594059405E-3</v>
      </c>
      <c r="AR48" s="15">
        <v>1.1311383770774683E-2</v>
      </c>
      <c r="AT48" s="7" t="s">
        <v>22</v>
      </c>
      <c r="AU48" s="15">
        <v>0.1204847908745247</v>
      </c>
      <c r="AV48" s="15">
        <v>3.4037908745246925E-3</v>
      </c>
      <c r="AW48" s="15">
        <v>1.0586395690925099E-2</v>
      </c>
      <c r="AY48" s="7" t="s">
        <v>90</v>
      </c>
      <c r="AZ48" s="15">
        <v>0.266887104393009</v>
      </c>
      <c r="BA48" s="15">
        <v>5.6821043930089798E-3</v>
      </c>
      <c r="BB48" s="15">
        <v>1.2934392270030593E-2</v>
      </c>
    </row>
    <row r="49" spans="1:54" x14ac:dyDescent="0.2">
      <c r="A49" s="1" t="s">
        <v>45</v>
      </c>
      <c r="B49" s="15">
        <v>0.1073715562174237</v>
      </c>
      <c r="C49" s="15">
        <v>0.1002751452155304</v>
      </c>
      <c r="D49" s="15">
        <v>0.1398601398601399</v>
      </c>
      <c r="E49" s="15">
        <v>0.11881188118811881</v>
      </c>
      <c r="F49" s="15">
        <v>0.1019486692015209</v>
      </c>
      <c r="G49" s="15">
        <v>0.31790269248937181</v>
      </c>
      <c r="H49" s="15">
        <v>0.126746</v>
      </c>
      <c r="J49" s="1" t="s">
        <v>45</v>
      </c>
      <c r="K49" s="11">
        <f t="shared" si="1"/>
        <v>-1.9374443782576301E-2</v>
      </c>
      <c r="L49" s="11">
        <f t="shared" si="2"/>
        <v>-2.6470854784469602E-2</v>
      </c>
      <c r="M49" s="11">
        <f t="shared" si="3"/>
        <v>1.3114139860139901E-2</v>
      </c>
      <c r="N49" s="11">
        <f t="shared" si="4"/>
        <v>-7.9341188118811912E-3</v>
      </c>
      <c r="O49" s="11">
        <f t="shared" si="5"/>
        <v>-2.4797330798479095E-2</v>
      </c>
      <c r="P49" s="11">
        <f t="shared" si="6"/>
        <v>0.19115669248937181</v>
      </c>
      <c r="U49" s="3">
        <v>46</v>
      </c>
      <c r="V49" s="4" t="s">
        <v>45</v>
      </c>
      <c r="W49" s="5">
        <v>0.126746</v>
      </c>
      <c r="X49" s="5">
        <v>0.33269700000000002</v>
      </c>
      <c r="Z49" s="7" t="s">
        <v>46</v>
      </c>
      <c r="AA49" s="15">
        <v>0.1328369322412509</v>
      </c>
      <c r="AB49" s="15">
        <v>-9.7006775874911022E-4</v>
      </c>
      <c r="AC49" s="15">
        <v>-2.8493357656221114E-3</v>
      </c>
      <c r="AE49" s="7" t="s">
        <v>21</v>
      </c>
      <c r="AF49" s="15">
        <v>5.8544787526750228E-2</v>
      </c>
      <c r="AG49" s="15">
        <v>1.7567875267502295E-3</v>
      </c>
      <c r="AH49" s="15">
        <v>7.5905839742408691E-3</v>
      </c>
      <c r="AJ49" s="7" t="s">
        <v>53</v>
      </c>
      <c r="AK49" s="15">
        <v>3.8461538461538457E-2</v>
      </c>
      <c r="AL49" s="15">
        <v>1.1035384615384544E-3</v>
      </c>
      <c r="AM49" s="15">
        <v>5.8190615029289627E-3</v>
      </c>
      <c r="AO49" s="7" t="s">
        <v>56</v>
      </c>
      <c r="AP49" s="15">
        <v>3.9603960396039598E-2</v>
      </c>
      <c r="AQ49" s="15">
        <v>2.1459603960395993E-3</v>
      </c>
      <c r="AR49" s="15">
        <v>1.130130918571985E-2</v>
      </c>
      <c r="AT49" s="7" t="s">
        <v>30</v>
      </c>
      <c r="AU49" s="15">
        <v>0.13426806083650189</v>
      </c>
      <c r="AV49" s="15">
        <v>3.4150608365018931E-3</v>
      </c>
      <c r="AW49" s="15">
        <v>1.0126259715407929E-2</v>
      </c>
      <c r="AY49" s="7" t="s">
        <v>83</v>
      </c>
      <c r="AZ49" s="15">
        <v>1.1336797354747279E-2</v>
      </c>
      <c r="BA49" s="15">
        <v>1.270797354747279E-3</v>
      </c>
      <c r="BB49" s="15">
        <v>1.2730379014538377E-2</v>
      </c>
    </row>
    <row r="50" spans="1:54" x14ac:dyDescent="0.2">
      <c r="A50" s="1" t="s">
        <v>46</v>
      </c>
      <c r="B50" s="15">
        <v>0.1328369322412509</v>
      </c>
      <c r="C50" s="15">
        <v>0.1232039131763987</v>
      </c>
      <c r="D50" s="15">
        <v>0.1293706293706294</v>
      </c>
      <c r="E50" s="15">
        <v>8.9108910891089105E-2</v>
      </c>
      <c r="F50" s="15">
        <v>0.11692015209125479</v>
      </c>
      <c r="G50" s="15">
        <v>0.20595181861124229</v>
      </c>
      <c r="H50" s="15">
        <v>0.13380700000000001</v>
      </c>
      <c r="J50" s="1" t="s">
        <v>46</v>
      </c>
      <c r="K50" s="11">
        <f t="shared" si="1"/>
        <v>-9.7006775874911022E-4</v>
      </c>
      <c r="L50" s="11">
        <f t="shared" si="2"/>
        <v>-1.060308682360131E-2</v>
      </c>
      <c r="M50" s="11">
        <f t="shared" si="3"/>
        <v>-4.4363706293706062E-3</v>
      </c>
      <c r="N50" s="11">
        <f t="shared" si="4"/>
        <v>-4.4698089108910904E-2</v>
      </c>
      <c r="O50" s="11">
        <f t="shared" si="5"/>
        <v>-1.6886847908745214E-2</v>
      </c>
      <c r="P50" s="11">
        <f t="shared" si="6"/>
        <v>7.2144818611242278E-2</v>
      </c>
      <c r="U50" s="3">
        <v>47</v>
      </c>
      <c r="V50" s="4" t="s">
        <v>46</v>
      </c>
      <c r="W50" s="5">
        <v>0.13380700000000001</v>
      </c>
      <c r="X50" s="5">
        <v>0.34045399999999998</v>
      </c>
      <c r="Z50" s="7" t="s">
        <v>28</v>
      </c>
      <c r="AA50" s="15">
        <v>0.42903946388682063</v>
      </c>
      <c r="AB50" s="15">
        <v>-1.928536113179391E-3</v>
      </c>
      <c r="AC50" s="15">
        <v>-3.8942702962283552E-3</v>
      </c>
      <c r="AE50" s="7" t="s">
        <v>88</v>
      </c>
      <c r="AF50" s="15">
        <v>0.35967594007948639</v>
      </c>
      <c r="AG50" s="15">
        <v>3.6239400794864096E-3</v>
      </c>
      <c r="AH50" s="15">
        <v>7.5681174821108574E-3</v>
      </c>
      <c r="AJ50" s="7" t="s">
        <v>54</v>
      </c>
      <c r="AK50" s="15">
        <v>9.7902097902097904E-2</v>
      </c>
      <c r="AL50" s="15">
        <v>1.603097902097908E-3</v>
      </c>
      <c r="AM50" s="15">
        <v>5.4340643915877411E-3</v>
      </c>
      <c r="AO50" s="7" t="s">
        <v>34</v>
      </c>
      <c r="AP50" s="15">
        <v>0.11881188118811881</v>
      </c>
      <c r="AQ50" s="15">
        <v>1.7788118811880305E-4</v>
      </c>
      <c r="AR50" s="15">
        <v>5.5009412929291372E-4</v>
      </c>
      <c r="AT50" s="7" t="s">
        <v>18</v>
      </c>
      <c r="AU50" s="15">
        <v>0.1164448669201521</v>
      </c>
      <c r="AV50" s="15">
        <v>3.0188669201521023E-3</v>
      </c>
      <c r="AW50" s="15">
        <v>9.519605829169631E-3</v>
      </c>
      <c r="AY50" s="7" t="s">
        <v>75</v>
      </c>
      <c r="AZ50" s="15">
        <v>0.1095890410958904</v>
      </c>
      <c r="BA50" s="15">
        <v>3.2740410958903982E-3</v>
      </c>
      <c r="BB50" s="15">
        <v>1.0621451220739138E-2</v>
      </c>
    </row>
    <row r="51" spans="1:54" x14ac:dyDescent="0.2">
      <c r="A51" s="1" t="s">
        <v>47</v>
      </c>
      <c r="B51" s="15">
        <v>7.4758004467609829E-2</v>
      </c>
      <c r="C51" s="15">
        <v>7.9639254050749009E-2</v>
      </c>
      <c r="D51" s="15">
        <v>5.5944055944055937E-2</v>
      </c>
      <c r="E51" s="15">
        <v>9.9009900990099015E-2</v>
      </c>
      <c r="F51" s="15">
        <v>7.9372623574144485E-2</v>
      </c>
      <c r="G51" s="15">
        <v>2.881435994331601E-2</v>
      </c>
      <c r="H51" s="15">
        <v>7.2312000000000001E-2</v>
      </c>
      <c r="J51" s="1" t="s">
        <v>47</v>
      </c>
      <c r="K51" s="11">
        <f t="shared" si="1"/>
        <v>2.4460044676098275E-3</v>
      </c>
      <c r="L51" s="11">
        <f t="shared" si="2"/>
        <v>7.3272540507490075E-3</v>
      </c>
      <c r="M51" s="11">
        <f t="shared" si="3"/>
        <v>-1.6367944055944064E-2</v>
      </c>
      <c r="N51" s="11">
        <f t="shared" si="4"/>
        <v>2.6697900990099013E-2</v>
      </c>
      <c r="O51" s="11">
        <f t="shared" si="5"/>
        <v>7.0606235741444839E-3</v>
      </c>
      <c r="P51" s="11">
        <f t="shared" si="6"/>
        <v>-4.3497640056683995E-2</v>
      </c>
      <c r="U51" s="3">
        <v>48</v>
      </c>
      <c r="V51" s="4" t="s">
        <v>47</v>
      </c>
      <c r="W51" s="5">
        <v>7.2312000000000001E-2</v>
      </c>
      <c r="X51" s="5">
        <v>0.25901000000000002</v>
      </c>
      <c r="Z51" s="7" t="s">
        <v>51</v>
      </c>
      <c r="AA51" s="15">
        <v>0.17795979151154129</v>
      </c>
      <c r="AB51" s="15">
        <v>-1.518208488458711E-3</v>
      </c>
      <c r="AC51" s="15">
        <v>-3.9561199088463976E-3</v>
      </c>
      <c r="AE51" s="7" t="s">
        <v>36</v>
      </c>
      <c r="AF51" s="15">
        <v>0.11418526444512379</v>
      </c>
      <c r="AG51" s="15">
        <v>2.3622644451237879E-3</v>
      </c>
      <c r="AH51" s="15">
        <v>7.4955163462140702E-3</v>
      </c>
      <c r="AJ51" s="7" t="s">
        <v>48</v>
      </c>
      <c r="AK51" s="15">
        <v>2.4475524475524479E-2</v>
      </c>
      <c r="AL51" s="15">
        <v>-2.124755244755222E-4</v>
      </c>
      <c r="AM51" s="15">
        <v>-1.3692462444532514E-3</v>
      </c>
      <c r="AO51" s="7" t="s">
        <v>49</v>
      </c>
      <c r="AP51" s="15">
        <v>0.35643564356435642</v>
      </c>
      <c r="AQ51" s="15">
        <v>-1.1183564356435638E-3</v>
      </c>
      <c r="AR51" s="15">
        <v>-2.333350933551079E-3</v>
      </c>
      <c r="AT51" s="7" t="s">
        <v>17</v>
      </c>
      <c r="AU51" s="15">
        <v>0.1188212927756654</v>
      </c>
      <c r="AV51" s="15">
        <v>2.7912927756654077E-3</v>
      </c>
      <c r="AW51" s="15">
        <v>8.7154634874602524E-3</v>
      </c>
      <c r="AY51" s="7" t="s">
        <v>8</v>
      </c>
      <c r="AZ51" s="15">
        <v>1.3698630136986301E-2</v>
      </c>
      <c r="BA51" s="15">
        <v>1.1796301369863E-3</v>
      </c>
      <c r="BB51" s="15">
        <v>1.06091387443682E-2</v>
      </c>
    </row>
    <row r="52" spans="1:54" x14ac:dyDescent="0.2">
      <c r="A52" s="1" t="s">
        <v>48</v>
      </c>
      <c r="B52" s="15">
        <v>2.472077438570365E-2</v>
      </c>
      <c r="C52" s="15">
        <v>3.3323142769795172E-2</v>
      </c>
      <c r="D52" s="15">
        <v>2.4475524475524479E-2</v>
      </c>
      <c r="E52" s="15">
        <v>4.9504950495049507E-2</v>
      </c>
      <c r="F52" s="15">
        <v>2.305133079847909E-2</v>
      </c>
      <c r="G52" s="15">
        <v>0</v>
      </c>
      <c r="H52" s="15">
        <v>2.4688000000000002E-2</v>
      </c>
      <c r="J52" s="1" t="s">
        <v>48</v>
      </c>
      <c r="K52" s="11">
        <f t="shared" si="1"/>
        <v>3.2774385703648878E-5</v>
      </c>
      <c r="L52" s="11">
        <f t="shared" si="2"/>
        <v>8.6351427697951705E-3</v>
      </c>
      <c r="M52" s="11">
        <f t="shared" si="3"/>
        <v>-2.124755244755222E-4</v>
      </c>
      <c r="N52" s="11">
        <f t="shared" si="4"/>
        <v>2.4816950495049506E-2</v>
      </c>
      <c r="O52" s="11">
        <f t="shared" si="5"/>
        <v>-1.6366692015209114E-3</v>
      </c>
      <c r="P52" s="11">
        <f t="shared" si="6"/>
        <v>-2.4688000000000002E-2</v>
      </c>
      <c r="U52" s="3">
        <v>49</v>
      </c>
      <c r="V52" s="4" t="s">
        <v>48</v>
      </c>
      <c r="W52" s="5">
        <v>2.4688000000000002E-2</v>
      </c>
      <c r="X52" s="5">
        <v>0.15517700000000001</v>
      </c>
      <c r="Z52" s="7" t="s">
        <v>67</v>
      </c>
      <c r="AA52" s="15">
        <v>0.118391660461653</v>
      </c>
      <c r="AB52" s="15">
        <v>-1.3943395383470003E-3</v>
      </c>
      <c r="AC52" s="15">
        <v>-4.2939881508227123E-3</v>
      </c>
      <c r="AE52" s="7" t="s">
        <v>3</v>
      </c>
      <c r="AF52" s="15">
        <v>0.1670742892081932</v>
      </c>
      <c r="AG52" s="15">
        <v>2.769289208193193E-3</v>
      </c>
      <c r="AH52" s="15">
        <v>7.4732343883819217E-3</v>
      </c>
      <c r="AJ52" s="7" t="s">
        <v>63</v>
      </c>
      <c r="AK52" s="15">
        <v>0.1118881118881119</v>
      </c>
      <c r="AL52" s="15">
        <v>-6.3588811188809713E-4</v>
      </c>
      <c r="AM52" s="15">
        <v>-2.012189533153482E-3</v>
      </c>
      <c r="AO52" s="7" t="s">
        <v>45</v>
      </c>
      <c r="AP52" s="15">
        <v>0.11881188118811881</v>
      </c>
      <c r="AQ52" s="15">
        <v>-7.9341188118811912E-3</v>
      </c>
      <c r="AR52" s="15">
        <v>-2.3847882042462635E-2</v>
      </c>
      <c r="AT52" s="7" t="s">
        <v>61</v>
      </c>
      <c r="AU52" s="15">
        <v>0.1119296577946768</v>
      </c>
      <c r="AV52" s="15">
        <v>2.5596577946768034E-3</v>
      </c>
      <c r="AW52" s="15">
        <v>8.2011399656428934E-3</v>
      </c>
      <c r="AY52" s="7" t="s">
        <v>23</v>
      </c>
      <c r="AZ52" s="15">
        <v>8.9749645725082667E-3</v>
      </c>
      <c r="BA52" s="15">
        <v>5.6196457250826636E-4</v>
      </c>
      <c r="BB52" s="15">
        <v>6.1525824137627968E-3</v>
      </c>
    </row>
    <row r="53" spans="1:54" x14ac:dyDescent="0.2">
      <c r="A53" s="1" t="s">
        <v>49</v>
      </c>
      <c r="B53" s="15">
        <v>0.33968726731198812</v>
      </c>
      <c r="C53" s="15">
        <v>0.33644145521247332</v>
      </c>
      <c r="D53" s="15">
        <v>0.34965034965034958</v>
      </c>
      <c r="E53" s="15">
        <v>0.35643564356435642</v>
      </c>
      <c r="F53" s="15">
        <v>0.32129277566539932</v>
      </c>
      <c r="G53" s="15">
        <v>0.55266887104393014</v>
      </c>
      <c r="H53" s="15">
        <v>0.35755399999999998</v>
      </c>
      <c r="J53" s="1" t="s">
        <v>49</v>
      </c>
      <c r="K53" s="11">
        <f t="shared" si="1"/>
        <v>-1.7866732688011866E-2</v>
      </c>
      <c r="L53" s="11">
        <f t="shared" si="2"/>
        <v>-2.1112544787526666E-2</v>
      </c>
      <c r="M53" s="11">
        <f t="shared" si="3"/>
        <v>-7.903650349650404E-3</v>
      </c>
      <c r="N53" s="11">
        <f t="shared" si="4"/>
        <v>-1.1183564356435638E-3</v>
      </c>
      <c r="O53" s="11">
        <f t="shared" si="5"/>
        <v>-3.6261224334600661E-2</v>
      </c>
      <c r="P53" s="11">
        <f t="shared" si="6"/>
        <v>0.19511487104393016</v>
      </c>
      <c r="U53" s="3">
        <v>50</v>
      </c>
      <c r="V53" s="4" t="s">
        <v>49</v>
      </c>
      <c r="W53" s="5">
        <v>0.35755399999999998</v>
      </c>
      <c r="X53" s="5">
        <v>0.479292</v>
      </c>
      <c r="Z53" s="7" t="s">
        <v>98</v>
      </c>
      <c r="AA53" s="15">
        <v>0.35026061057334318</v>
      </c>
      <c r="AB53" s="15">
        <v>-2.1353894266568085E-3</v>
      </c>
      <c r="AC53" s="15">
        <v>-4.4698760733738341E-3</v>
      </c>
      <c r="AE53" s="7" t="s">
        <v>27</v>
      </c>
      <c r="AF53" s="15">
        <v>9.1103638031183126E-2</v>
      </c>
      <c r="AG53" s="15">
        <v>1.2146380311831295E-3</v>
      </c>
      <c r="AH53" s="15">
        <v>4.2465406816876881E-3</v>
      </c>
      <c r="AJ53" s="7" t="s">
        <v>22</v>
      </c>
      <c r="AK53" s="15">
        <v>0.1153846153846154</v>
      </c>
      <c r="AL53" s="15">
        <v>-1.6963846153845996E-3</v>
      </c>
      <c r="AM53" s="15">
        <v>-5.2760582081785232E-3</v>
      </c>
      <c r="AO53" s="7" t="s">
        <v>92</v>
      </c>
      <c r="AP53" s="15">
        <v>9.9009900990099011E-3</v>
      </c>
      <c r="AQ53" s="15">
        <v>-3.0690099009900995E-3</v>
      </c>
      <c r="AR53" s="15">
        <v>-2.7123854606268778E-2</v>
      </c>
      <c r="AT53" s="7" t="s">
        <v>96</v>
      </c>
      <c r="AU53" s="15">
        <v>0.26568441064638781</v>
      </c>
      <c r="AV53" s="15">
        <v>3.428410646387825E-3</v>
      </c>
      <c r="AW53" s="15">
        <v>7.7941097555375774E-3</v>
      </c>
      <c r="AY53" s="7" t="s">
        <v>5</v>
      </c>
      <c r="AZ53" s="15">
        <v>0.1794992914501653</v>
      </c>
      <c r="BA53" s="15">
        <v>2.3242914501653E-3</v>
      </c>
      <c r="BB53" s="15">
        <v>6.0873053437044628E-3</v>
      </c>
    </row>
    <row r="54" spans="1:54" x14ac:dyDescent="0.2">
      <c r="A54" s="1" t="s">
        <v>50</v>
      </c>
      <c r="B54" s="15">
        <v>0.379746835443038</v>
      </c>
      <c r="C54" s="15">
        <v>0.43855090186487311</v>
      </c>
      <c r="D54" s="15">
        <v>0.38111888111888109</v>
      </c>
      <c r="E54" s="15">
        <v>0.53465346534653468</v>
      </c>
      <c r="F54" s="15">
        <v>0.42229087452471481</v>
      </c>
      <c r="G54" s="15">
        <v>0.17241379310344829</v>
      </c>
      <c r="H54" s="15">
        <v>0.38679999999999998</v>
      </c>
      <c r="J54" s="1" t="s">
        <v>50</v>
      </c>
      <c r="K54" s="11">
        <f t="shared" si="1"/>
        <v>-7.0531645569619772E-3</v>
      </c>
      <c r="L54" s="11">
        <f t="shared" si="2"/>
        <v>5.1750901864873133E-2</v>
      </c>
      <c r="M54" s="11">
        <f t="shared" si="3"/>
        <v>-5.6811188811188851E-3</v>
      </c>
      <c r="N54" s="11">
        <f t="shared" si="4"/>
        <v>0.14785346534653471</v>
      </c>
      <c r="O54" s="11">
        <f t="shared" si="5"/>
        <v>3.5490874524714833E-2</v>
      </c>
      <c r="P54" s="11">
        <f t="shared" si="6"/>
        <v>-0.21438620689655169</v>
      </c>
      <c r="U54" s="3">
        <v>51</v>
      </c>
      <c r="V54" s="4" t="s">
        <v>50</v>
      </c>
      <c r="W54" s="5">
        <v>0.38679999999999998</v>
      </c>
      <c r="X54" s="5">
        <v>0.48702899999999999</v>
      </c>
      <c r="Z54" s="7" t="s">
        <v>42</v>
      </c>
      <c r="AA54" s="15">
        <v>8.4735666418466124E-2</v>
      </c>
      <c r="AB54" s="15">
        <v>-1.3473335815338827E-3</v>
      </c>
      <c r="AC54" s="15">
        <v>-4.8034310236007996E-3</v>
      </c>
      <c r="AE54" s="7" t="s">
        <v>22</v>
      </c>
      <c r="AF54" s="15">
        <v>0.1180067257719352</v>
      </c>
      <c r="AG54" s="15">
        <v>9.2572577193519856E-4</v>
      </c>
      <c r="AH54" s="15">
        <v>2.8791719833145121E-3</v>
      </c>
      <c r="AJ54" s="7" t="s">
        <v>26</v>
      </c>
      <c r="AK54" s="15">
        <v>8.7412587412587409E-2</v>
      </c>
      <c r="AL54" s="15">
        <v>-1.8254125874125893E-3</v>
      </c>
      <c r="AM54" s="15">
        <v>-6.4028221730040493E-3</v>
      </c>
      <c r="AO54" s="7" t="s">
        <v>37</v>
      </c>
      <c r="AP54" s="15">
        <v>9.9009900990099015E-2</v>
      </c>
      <c r="AQ54" s="15">
        <v>-9.0070990099009873E-3</v>
      </c>
      <c r="AR54" s="15">
        <v>-2.9016781063435415E-2</v>
      </c>
      <c r="AT54" s="7" t="s">
        <v>5</v>
      </c>
      <c r="AU54" s="15">
        <v>0.18013307984790869</v>
      </c>
      <c r="AV54" s="15">
        <v>2.9580798479086901E-3</v>
      </c>
      <c r="AW54" s="15">
        <v>7.747193349611315E-3</v>
      </c>
      <c r="AY54" s="7" t="s">
        <v>0</v>
      </c>
      <c r="AZ54" s="15">
        <v>5.6683986773736423E-3</v>
      </c>
      <c r="BA54" s="15">
        <v>4.1039867737364261E-4</v>
      </c>
      <c r="BB54" s="15">
        <v>5.6744466203976912E-3</v>
      </c>
    </row>
    <row r="55" spans="1:54" x14ac:dyDescent="0.2">
      <c r="A55" s="1" t="s">
        <v>51</v>
      </c>
      <c r="B55" s="15">
        <v>0.17795979151154129</v>
      </c>
      <c r="C55" s="15">
        <v>0.1877101803729746</v>
      </c>
      <c r="D55" s="15">
        <v>0.15034965034965031</v>
      </c>
      <c r="E55" s="15">
        <v>0</v>
      </c>
      <c r="F55" s="15">
        <v>0.1373574144486692</v>
      </c>
      <c r="G55" s="15">
        <v>0.25507794048181393</v>
      </c>
      <c r="H55" s="15">
        <v>0.179478</v>
      </c>
      <c r="J55" s="1" t="s">
        <v>51</v>
      </c>
      <c r="K55" s="11">
        <f t="shared" si="1"/>
        <v>-1.518208488458711E-3</v>
      </c>
      <c r="L55" s="11">
        <f t="shared" si="2"/>
        <v>8.2321803729746013E-3</v>
      </c>
      <c r="M55" s="11">
        <f t="shared" si="3"/>
        <v>-2.9128349650349689E-2</v>
      </c>
      <c r="N55" s="11">
        <f t="shared" si="4"/>
        <v>-0.179478</v>
      </c>
      <c r="O55" s="11">
        <f t="shared" si="5"/>
        <v>-4.2120585551330803E-2</v>
      </c>
      <c r="P55" s="11">
        <f t="shared" si="6"/>
        <v>7.5599940481813926E-2</v>
      </c>
      <c r="U55" s="3">
        <v>52</v>
      </c>
      <c r="V55" s="4" t="s">
        <v>51</v>
      </c>
      <c r="W55" s="5">
        <v>0.179478</v>
      </c>
      <c r="X55" s="5">
        <v>0.38376199999999999</v>
      </c>
      <c r="Z55" s="7" t="s">
        <v>0</v>
      </c>
      <c r="AA55" s="15">
        <v>4.6165301563663441E-3</v>
      </c>
      <c r="AB55" s="15">
        <v>-6.4146984363365554E-4</v>
      </c>
      <c r="AC55" s="15">
        <v>-8.8693911237439239E-3</v>
      </c>
      <c r="AE55" s="7" t="s">
        <v>99</v>
      </c>
      <c r="AF55" s="15">
        <v>0.46102109446652401</v>
      </c>
      <c r="AG55" s="15">
        <v>9.5809446652400654E-4</v>
      </c>
      <c r="AH55" s="15">
        <v>1.9222825687910808E-3</v>
      </c>
      <c r="AJ55" s="7" t="s">
        <v>70</v>
      </c>
      <c r="AK55" s="15">
        <v>2.097902097902098E-2</v>
      </c>
      <c r="AL55" s="15">
        <v>-9.5497902097901877E-4</v>
      </c>
      <c r="AM55" s="15">
        <v>-6.5198742488599788E-3</v>
      </c>
      <c r="AO55" s="7" t="s">
        <v>32</v>
      </c>
      <c r="AP55" s="15">
        <v>0.1089108910891089</v>
      </c>
      <c r="AQ55" s="15">
        <v>-9.6231089108911039E-3</v>
      </c>
      <c r="AR55" s="15">
        <v>-2.9770141442584476E-2</v>
      </c>
      <c r="AT55" s="7" t="s">
        <v>89</v>
      </c>
      <c r="AU55" s="15">
        <v>6.1787072243346007E-3</v>
      </c>
      <c r="AV55" s="15">
        <v>2.6970722433460048E-4</v>
      </c>
      <c r="AW55" s="15">
        <v>3.5188688820629969E-3</v>
      </c>
      <c r="AY55" s="7" t="s">
        <v>78</v>
      </c>
      <c r="AZ55" s="15">
        <v>0.1572980632971186</v>
      </c>
      <c r="BA55" s="15">
        <v>1.9070632971185941E-3</v>
      </c>
      <c r="BB55" s="15">
        <v>5.2639718264536695E-3</v>
      </c>
    </row>
    <row r="56" spans="1:54" x14ac:dyDescent="0.2">
      <c r="A56" s="1" t="s">
        <v>52</v>
      </c>
      <c r="B56" s="15">
        <v>3.678332092330603E-2</v>
      </c>
      <c r="C56" s="15">
        <v>6.4047691837358603E-2</v>
      </c>
      <c r="D56" s="15">
        <v>9.7902097902097904E-2</v>
      </c>
      <c r="E56" s="15">
        <v>0</v>
      </c>
      <c r="F56" s="15">
        <v>4.3726235741444873E-2</v>
      </c>
      <c r="G56" s="15">
        <v>0.29617383089277283</v>
      </c>
      <c r="H56" s="15">
        <v>7.5367000000000003E-2</v>
      </c>
      <c r="J56" s="1" t="s">
        <v>52</v>
      </c>
      <c r="K56" s="11">
        <f t="shared" si="1"/>
        <v>-3.8583679076693973E-2</v>
      </c>
      <c r="L56" s="11">
        <f t="shared" si="2"/>
        <v>-1.13193081626414E-2</v>
      </c>
      <c r="M56" s="11">
        <f t="shared" si="3"/>
        <v>2.25350979020979E-2</v>
      </c>
      <c r="N56" s="11">
        <f t="shared" si="4"/>
        <v>-7.5367000000000003E-2</v>
      </c>
      <c r="O56" s="11">
        <f t="shared" si="5"/>
        <v>-3.164076425855513E-2</v>
      </c>
      <c r="P56" s="11">
        <f t="shared" si="6"/>
        <v>0.22080683089277281</v>
      </c>
      <c r="U56" s="3">
        <v>53</v>
      </c>
      <c r="V56" s="4" t="s">
        <v>52</v>
      </c>
      <c r="W56" s="5">
        <v>7.5367000000000003E-2</v>
      </c>
      <c r="X56" s="5">
        <v>0.26398899999999997</v>
      </c>
      <c r="Z56" s="7" t="s">
        <v>39</v>
      </c>
      <c r="AA56" s="15">
        <v>8.0714817572598657E-2</v>
      </c>
      <c r="AB56" s="15">
        <v>-2.5141824274013402E-3</v>
      </c>
      <c r="AC56" s="15">
        <v>-9.1016070642798343E-3</v>
      </c>
      <c r="AE56" s="7" t="s">
        <v>90</v>
      </c>
      <c r="AF56" s="15">
        <v>0.26199938856618771</v>
      </c>
      <c r="AG56" s="15">
        <v>7.9438856618768705E-4</v>
      </c>
      <c r="AH56" s="15">
        <v>1.8082971764018534E-3</v>
      </c>
      <c r="AJ56" s="7" t="s">
        <v>109</v>
      </c>
      <c r="AK56" s="15">
        <v>2.4475524475524479E-2</v>
      </c>
      <c r="AL56" s="15">
        <v>-1.815475524475519E-3</v>
      </c>
      <c r="AM56" s="15">
        <v>-1.1346509280922975E-2</v>
      </c>
      <c r="AO56" s="7" t="s">
        <v>31</v>
      </c>
      <c r="AP56" s="15">
        <v>0.1089108910891089</v>
      </c>
      <c r="AQ56" s="15">
        <v>-1.1426108910891103E-2</v>
      </c>
      <c r="AR56" s="15">
        <v>-3.5118034044716522E-2</v>
      </c>
      <c r="AT56" s="7" t="s">
        <v>63</v>
      </c>
      <c r="AU56" s="15">
        <v>0.11359315589353609</v>
      </c>
      <c r="AV56" s="15">
        <v>1.0691558935360945E-3</v>
      </c>
      <c r="AW56" s="15">
        <v>3.3832120117717802E-3</v>
      </c>
      <c r="AY56" s="7" t="s">
        <v>11</v>
      </c>
      <c r="AZ56" s="15">
        <v>0.1110061407652338</v>
      </c>
      <c r="BA56" s="15">
        <v>-6.5859234766207919E-5</v>
      </c>
      <c r="BB56" s="15">
        <v>-2.0958993207567705E-4</v>
      </c>
    </row>
    <row r="57" spans="1:54" x14ac:dyDescent="0.2">
      <c r="A57" s="1" t="s">
        <v>53</v>
      </c>
      <c r="B57" s="15">
        <v>2.412509307520477E-2</v>
      </c>
      <c r="C57" s="15">
        <v>4.9526138795475391E-2</v>
      </c>
      <c r="D57" s="15">
        <v>3.8461538461538457E-2</v>
      </c>
      <c r="E57" s="15">
        <v>0</v>
      </c>
      <c r="F57" s="15">
        <v>3.2319391634980987E-2</v>
      </c>
      <c r="G57" s="15">
        <v>5.3377420878601797E-2</v>
      </c>
      <c r="H57" s="15">
        <v>3.7358000000000002E-2</v>
      </c>
      <c r="J57" s="1" t="s">
        <v>53</v>
      </c>
      <c r="K57" s="11">
        <f t="shared" si="1"/>
        <v>-1.3232906924795233E-2</v>
      </c>
      <c r="L57" s="11">
        <f t="shared" si="2"/>
        <v>1.2168138795475389E-2</v>
      </c>
      <c r="M57" s="11">
        <f t="shared" si="3"/>
        <v>1.1035384615384544E-3</v>
      </c>
      <c r="N57" s="11">
        <f t="shared" si="4"/>
        <v>-3.7358000000000002E-2</v>
      </c>
      <c r="O57" s="11">
        <f t="shared" si="5"/>
        <v>-5.038608365019015E-3</v>
      </c>
      <c r="P57" s="11">
        <f t="shared" si="6"/>
        <v>1.6019420878601795E-2</v>
      </c>
      <c r="U57" s="3">
        <v>54</v>
      </c>
      <c r="V57" s="4" t="s">
        <v>53</v>
      </c>
      <c r="W57" s="5">
        <v>3.7358000000000002E-2</v>
      </c>
      <c r="X57" s="5">
        <v>0.18964200000000001</v>
      </c>
      <c r="Z57" s="7" t="s">
        <v>15</v>
      </c>
      <c r="AA57" s="15">
        <v>0.38019359642591222</v>
      </c>
      <c r="AB57" s="15">
        <v>-4.452403574087771E-3</v>
      </c>
      <c r="AC57" s="15">
        <v>-9.1514572232567586E-3</v>
      </c>
      <c r="AE57" s="7" t="s">
        <v>101</v>
      </c>
      <c r="AF57" s="15">
        <v>6.8786303882604708E-3</v>
      </c>
      <c r="AG57" s="15">
        <v>1.7630388260470899E-5</v>
      </c>
      <c r="AH57" s="15">
        <v>2.1358258741151478E-4</v>
      </c>
      <c r="AJ57" s="7" t="s">
        <v>50</v>
      </c>
      <c r="AK57" s="15">
        <v>0.38111888111888109</v>
      </c>
      <c r="AL57" s="15">
        <v>-5.6811188811188851E-3</v>
      </c>
      <c r="AM57" s="15">
        <v>-1.1664847229053886E-2</v>
      </c>
      <c r="AO57" s="7" t="s">
        <v>102</v>
      </c>
      <c r="AP57" s="15">
        <v>9.9009900990099011E-3</v>
      </c>
      <c r="AQ57" s="15">
        <v>-4.4710099009900982E-3</v>
      </c>
      <c r="AR57" s="15">
        <v>-3.7564251455517825E-2</v>
      </c>
      <c r="AT57" s="7" t="s">
        <v>36</v>
      </c>
      <c r="AU57" s="15">
        <v>0.1128802281368821</v>
      </c>
      <c r="AV57" s="15">
        <v>1.0572281368820963E-3</v>
      </c>
      <c r="AW57" s="15">
        <v>3.3546078204897754E-3</v>
      </c>
      <c r="AY57" s="7" t="s">
        <v>86</v>
      </c>
      <c r="AZ57" s="15">
        <v>0.11289560699102499</v>
      </c>
      <c r="BA57" s="15">
        <v>-7.3039300897501103E-4</v>
      </c>
      <c r="BB57" s="15">
        <v>-2.3014289823232274E-3</v>
      </c>
    </row>
    <row r="58" spans="1:54" x14ac:dyDescent="0.2">
      <c r="A58" s="1" t="s">
        <v>54</v>
      </c>
      <c r="B58" s="15">
        <v>5.5696202531645568E-2</v>
      </c>
      <c r="C58" s="15">
        <v>0.14139406909202079</v>
      </c>
      <c r="D58" s="15">
        <v>9.7902097902097904E-2</v>
      </c>
      <c r="E58" s="15">
        <v>6.9306930693069313E-2</v>
      </c>
      <c r="F58" s="15">
        <v>0.1233365019011407</v>
      </c>
      <c r="G58" s="15">
        <v>3.3065658951346243E-2</v>
      </c>
      <c r="H58" s="15">
        <v>9.6298999999999996E-2</v>
      </c>
      <c r="J58" s="1" t="s">
        <v>54</v>
      </c>
      <c r="K58" s="11">
        <f t="shared" si="1"/>
        <v>-4.0602797468354428E-2</v>
      </c>
      <c r="L58" s="11">
        <f t="shared" si="2"/>
        <v>4.5095069092020795E-2</v>
      </c>
      <c r="M58" s="11">
        <f t="shared" si="3"/>
        <v>1.603097902097908E-3</v>
      </c>
      <c r="N58" s="11">
        <f t="shared" si="4"/>
        <v>-2.6992069306930683E-2</v>
      </c>
      <c r="O58" s="11">
        <f t="shared" si="5"/>
        <v>2.7037501901140709E-2</v>
      </c>
      <c r="P58" s="11">
        <f t="shared" si="6"/>
        <v>-6.3233341048653746E-2</v>
      </c>
      <c r="U58" s="3">
        <v>55</v>
      </c>
      <c r="V58" s="4" t="s">
        <v>54</v>
      </c>
      <c r="W58" s="5">
        <v>9.6298999999999996E-2</v>
      </c>
      <c r="X58" s="5">
        <v>0.29500900000000002</v>
      </c>
      <c r="Z58" s="7" t="s">
        <v>30</v>
      </c>
      <c r="AA58" s="15">
        <v>0.12732688011913629</v>
      </c>
      <c r="AB58" s="15">
        <v>-3.5261198808637095E-3</v>
      </c>
      <c r="AC58" s="15">
        <v>-1.0455569435144788E-2</v>
      </c>
      <c r="AE58" s="7" t="s">
        <v>8</v>
      </c>
      <c r="AF58" s="15">
        <v>1.2534393151941299E-2</v>
      </c>
      <c r="AG58" s="15">
        <v>1.5393151941298783E-5</v>
      </c>
      <c r="AH58" s="15">
        <v>1.3844007501842597E-4</v>
      </c>
      <c r="AJ58" s="7" t="s">
        <v>79</v>
      </c>
      <c r="AK58" s="15">
        <v>1.3986013986013989E-2</v>
      </c>
      <c r="AL58" s="15">
        <v>-1.4879860139860104E-3</v>
      </c>
      <c r="AM58" s="15">
        <v>-1.2055205045620715E-2</v>
      </c>
      <c r="AO58" s="7" t="s">
        <v>114</v>
      </c>
      <c r="AP58" s="15">
        <v>9.9009900990099011E-3</v>
      </c>
      <c r="AQ58" s="15">
        <v>-4.4710099009900982E-3</v>
      </c>
      <c r="AR58" s="15">
        <v>-3.7564251455517825E-2</v>
      </c>
      <c r="AT58" s="7" t="s">
        <v>29</v>
      </c>
      <c r="AU58" s="15">
        <v>0.34980988593155887</v>
      </c>
      <c r="AV58" s="15">
        <v>1.5198859315588842E-3</v>
      </c>
      <c r="AW58" s="15">
        <v>3.1900888497164055E-3</v>
      </c>
      <c r="AY58" s="7" t="s">
        <v>94</v>
      </c>
      <c r="AZ58" s="15">
        <v>0.2461029759093056</v>
      </c>
      <c r="BA58" s="15">
        <v>-2.2820240906943901E-3</v>
      </c>
      <c r="BB58" s="15">
        <v>-5.281399557714974E-3</v>
      </c>
    </row>
    <row r="59" spans="1:54" x14ac:dyDescent="0.2">
      <c r="A59" s="1" t="s">
        <v>55</v>
      </c>
      <c r="B59" s="15">
        <v>1.131794489947878E-2</v>
      </c>
      <c r="C59" s="15">
        <v>4.5551819015591563E-2</v>
      </c>
      <c r="D59" s="15">
        <v>3.8461538461538457E-2</v>
      </c>
      <c r="E59" s="15">
        <v>2.9702970297029702E-2</v>
      </c>
      <c r="F59" s="15">
        <v>3.2081749049429648E-2</v>
      </c>
      <c r="G59" s="15">
        <v>1.464336324988191E-2</v>
      </c>
      <c r="H59" s="15">
        <v>2.7743E-2</v>
      </c>
      <c r="J59" s="1" t="s">
        <v>55</v>
      </c>
      <c r="K59" s="11">
        <f t="shared" si="1"/>
        <v>-1.6425055100521221E-2</v>
      </c>
      <c r="L59" s="11">
        <f t="shared" si="2"/>
        <v>1.7808819015591563E-2</v>
      </c>
      <c r="M59" s="11">
        <f t="shared" si="3"/>
        <v>1.0718538461538456E-2</v>
      </c>
      <c r="N59" s="11">
        <f t="shared" si="4"/>
        <v>1.9599702970297013E-3</v>
      </c>
      <c r="O59" s="11">
        <f t="shared" si="5"/>
        <v>4.3387490494296473E-3</v>
      </c>
      <c r="P59" s="11">
        <f t="shared" si="6"/>
        <v>-1.309963675011809E-2</v>
      </c>
      <c r="U59" s="3">
        <v>56</v>
      </c>
      <c r="V59" s="4" t="s">
        <v>55</v>
      </c>
      <c r="W59" s="5">
        <v>2.7743E-2</v>
      </c>
      <c r="X59" s="5">
        <v>0.16424</v>
      </c>
      <c r="Z59" s="7" t="s">
        <v>19</v>
      </c>
      <c r="AA59" s="15">
        <v>0.118391660461653</v>
      </c>
      <c r="AB59" s="15">
        <v>-4.04833953834699E-3</v>
      </c>
      <c r="AC59" s="15">
        <v>-1.2349991422683244E-2</v>
      </c>
      <c r="AE59" s="7" t="s">
        <v>19</v>
      </c>
      <c r="AF59" s="15">
        <v>0.1224396209110364</v>
      </c>
      <c r="AG59" s="15">
        <v>-3.7908896359517552E-7</v>
      </c>
      <c r="AH59" s="15">
        <v>-1.1564606685006315E-6</v>
      </c>
      <c r="AJ59" s="7" t="s">
        <v>81</v>
      </c>
      <c r="AK59" s="15">
        <v>0.1083916083916084</v>
      </c>
      <c r="AL59" s="15">
        <v>-3.8823916083915999E-3</v>
      </c>
      <c r="AM59" s="15">
        <v>-1.2297295971288931E-2</v>
      </c>
      <c r="AO59" s="7" t="s">
        <v>9</v>
      </c>
      <c r="AP59" s="15">
        <v>0.47524752475247523</v>
      </c>
      <c r="AQ59" s="15">
        <v>-2.537847524752479E-2</v>
      </c>
      <c r="AR59" s="15">
        <v>-5.0755732357473E-2</v>
      </c>
      <c r="AT59" s="7" t="s">
        <v>2</v>
      </c>
      <c r="AU59" s="15">
        <v>0.1699144486692015</v>
      </c>
      <c r="AV59" s="15">
        <v>1.1024486692015056E-3</v>
      </c>
      <c r="AW59" s="15">
        <v>2.9430416028017074E-3</v>
      </c>
      <c r="AY59" s="7" t="s">
        <v>79</v>
      </c>
      <c r="AZ59" s="15">
        <v>1.417099669343411E-2</v>
      </c>
      <c r="BA59" s="15">
        <v>-1.3030033065658895E-3</v>
      </c>
      <c r="BB59" s="15">
        <v>-1.0556532042727431E-2</v>
      </c>
    </row>
    <row r="60" spans="1:54" x14ac:dyDescent="0.2">
      <c r="A60" s="1" t="s">
        <v>56</v>
      </c>
      <c r="B60" s="15">
        <v>1.2658227848101271E-2</v>
      </c>
      <c r="C60" s="15">
        <v>6.465912564964843E-2</v>
      </c>
      <c r="D60" s="15">
        <v>5.5944055944055937E-2</v>
      </c>
      <c r="E60" s="15">
        <v>3.9603960396039598E-2</v>
      </c>
      <c r="F60" s="15">
        <v>4.5865019011406841E-2</v>
      </c>
      <c r="G60" s="15">
        <v>1.275389702409069E-2</v>
      </c>
      <c r="H60" s="15">
        <v>3.7457999999999998E-2</v>
      </c>
      <c r="J60" s="1" t="s">
        <v>56</v>
      </c>
      <c r="K60" s="11">
        <f t="shared" si="1"/>
        <v>-2.4799772151898727E-2</v>
      </c>
      <c r="L60" s="11">
        <f t="shared" si="2"/>
        <v>2.7201125649648432E-2</v>
      </c>
      <c r="M60" s="11">
        <f t="shared" si="3"/>
        <v>1.8486055944055939E-2</v>
      </c>
      <c r="N60" s="11">
        <f t="shared" si="4"/>
        <v>2.1459603960395993E-3</v>
      </c>
      <c r="O60" s="11">
        <f t="shared" si="5"/>
        <v>8.4070190114068424E-3</v>
      </c>
      <c r="P60" s="11">
        <f t="shared" si="6"/>
        <v>-2.470410297590931E-2</v>
      </c>
      <c r="U60" s="3">
        <v>57</v>
      </c>
      <c r="V60" s="4" t="s">
        <v>56</v>
      </c>
      <c r="W60" s="5">
        <v>3.7457999999999998E-2</v>
      </c>
      <c r="X60" s="5">
        <v>0.189886</v>
      </c>
      <c r="Z60" s="7" t="s">
        <v>37</v>
      </c>
      <c r="AA60" s="15">
        <v>0.1040953090096798</v>
      </c>
      <c r="AB60" s="15">
        <v>-3.9216909903202063E-3</v>
      </c>
      <c r="AC60" s="15">
        <v>-1.2633906737283613E-2</v>
      </c>
      <c r="AE60" s="7" t="s">
        <v>39</v>
      </c>
      <c r="AF60" s="15">
        <v>8.315499847141547E-2</v>
      </c>
      <c r="AG60" s="15">
        <v>-7.4001528584527465E-5</v>
      </c>
      <c r="AH60" s="15">
        <v>-2.6789338275210405E-4</v>
      </c>
      <c r="AJ60" s="7" t="s">
        <v>46</v>
      </c>
      <c r="AK60" s="15">
        <v>0.1293706293706294</v>
      </c>
      <c r="AL60" s="15">
        <v>-4.4363706293706062E-3</v>
      </c>
      <c r="AM60" s="15">
        <v>-1.3030749027388742E-2</v>
      </c>
      <c r="AO60" s="7" t="s">
        <v>60</v>
      </c>
      <c r="AP60" s="15">
        <v>0.47524752475247523</v>
      </c>
      <c r="AQ60" s="15">
        <v>-2.537847524752479E-2</v>
      </c>
      <c r="AR60" s="15">
        <v>-5.0755732357473E-2</v>
      </c>
      <c r="AT60" s="7" t="s">
        <v>87</v>
      </c>
      <c r="AU60" s="15">
        <v>6.1787072243346008E-2</v>
      </c>
      <c r="AV60" s="15">
        <v>6.9207224334601192E-4</v>
      </c>
      <c r="AW60" s="15">
        <v>2.8895338121415052E-3</v>
      </c>
      <c r="AY60" s="7" t="s">
        <v>26</v>
      </c>
      <c r="AZ60" s="15">
        <v>8.5970713273500241E-2</v>
      </c>
      <c r="BA60" s="15">
        <v>-3.2672867264997574E-3</v>
      </c>
      <c r="BB60" s="15">
        <v>-1.1460343838018056E-2</v>
      </c>
    </row>
    <row r="61" spans="1:54" x14ac:dyDescent="0.2">
      <c r="A61" s="1" t="s">
        <v>57</v>
      </c>
      <c r="B61" s="15">
        <v>0.66433358153387934</v>
      </c>
      <c r="C61" s="15">
        <v>0.44665239987771321</v>
      </c>
      <c r="D61" s="15">
        <v>0.48601398601398599</v>
      </c>
      <c r="E61" s="15">
        <v>0.86138613861386137</v>
      </c>
      <c r="F61" s="15">
        <v>0.5829372623574145</v>
      </c>
      <c r="G61" s="15">
        <v>0.132262635805385</v>
      </c>
      <c r="H61" s="15">
        <v>0.517903</v>
      </c>
      <c r="J61" s="1" t="s">
        <v>57</v>
      </c>
      <c r="K61" s="11">
        <f t="shared" si="1"/>
        <v>0.14643058153387933</v>
      </c>
      <c r="L61" s="11">
        <f t="shared" si="2"/>
        <v>-7.1250600122286789E-2</v>
      </c>
      <c r="M61" s="11">
        <f t="shared" si="3"/>
        <v>-3.1889013986014014E-2</v>
      </c>
      <c r="N61" s="11">
        <f t="shared" si="4"/>
        <v>0.34348313861386137</v>
      </c>
      <c r="O61" s="11">
        <f t="shared" si="5"/>
        <v>6.5034262357414496E-2</v>
      </c>
      <c r="P61" s="11">
        <f t="shared" si="6"/>
        <v>-0.385640364194615</v>
      </c>
      <c r="U61" s="3">
        <v>58</v>
      </c>
      <c r="V61" s="4" t="s">
        <v>57</v>
      </c>
      <c r="W61" s="5">
        <v>0.517903</v>
      </c>
      <c r="X61" s="5">
        <v>0.49969200000000003</v>
      </c>
      <c r="Z61" s="7" t="s">
        <v>18</v>
      </c>
      <c r="AA61" s="15">
        <v>0.109307520476545</v>
      </c>
      <c r="AB61" s="15">
        <v>-4.1184795234549959E-3</v>
      </c>
      <c r="AC61" s="15">
        <v>-1.2987091751902258E-2</v>
      </c>
      <c r="AE61" s="7" t="s">
        <v>107</v>
      </c>
      <c r="AF61" s="15">
        <v>0.4365637419749312</v>
      </c>
      <c r="AG61" s="15">
        <v>-1.2652580250688272E-3</v>
      </c>
      <c r="AH61" s="15">
        <v>-2.5502447434731629E-3</v>
      </c>
      <c r="AJ61" s="7" t="s">
        <v>69</v>
      </c>
      <c r="AK61" s="15">
        <v>8.0419580419580416E-2</v>
      </c>
      <c r="AL61" s="15">
        <v>-3.6604195804195855E-3</v>
      </c>
      <c r="AM61" s="15">
        <v>-1.3189988218365081E-2</v>
      </c>
      <c r="AO61" s="7" t="s">
        <v>64</v>
      </c>
      <c r="AP61" s="15">
        <v>8.9108910891089105E-2</v>
      </c>
      <c r="AQ61" s="15">
        <v>-1.8307089108910893E-2</v>
      </c>
      <c r="AR61" s="15">
        <v>-5.9121876663687692E-2</v>
      </c>
      <c r="AT61" s="7" t="s">
        <v>21</v>
      </c>
      <c r="AU61" s="15">
        <v>5.7271863117870719E-2</v>
      </c>
      <c r="AV61" s="15">
        <v>4.8386311787072117E-4</v>
      </c>
      <c r="AW61" s="15">
        <v>2.0906362165661573E-3</v>
      </c>
      <c r="AY61" s="7" t="s">
        <v>2</v>
      </c>
      <c r="AZ61" s="15">
        <v>0.16438356164383561</v>
      </c>
      <c r="BA61" s="15">
        <v>-4.4284383561643825E-3</v>
      </c>
      <c r="BB61" s="15">
        <v>-1.1821936641344339E-2</v>
      </c>
    </row>
    <row r="62" spans="1:54" x14ac:dyDescent="0.2">
      <c r="A62" s="1" t="s">
        <v>58</v>
      </c>
      <c r="B62" s="15">
        <v>1.7125837676842889E-2</v>
      </c>
      <c r="C62" s="15">
        <v>4.585753592173647E-4</v>
      </c>
      <c r="D62" s="15">
        <v>3.4965034965034968E-2</v>
      </c>
      <c r="E62" s="15">
        <v>0</v>
      </c>
      <c r="F62" s="15">
        <v>2.3764258555133079E-3</v>
      </c>
      <c r="G62" s="15">
        <v>0.2026452527161077</v>
      </c>
      <c r="H62" s="15">
        <v>2.8393999999999999E-2</v>
      </c>
      <c r="J62" s="1" t="s">
        <v>58</v>
      </c>
      <c r="K62" s="11">
        <f t="shared" si="1"/>
        <v>-1.126816232315711E-2</v>
      </c>
      <c r="L62" s="11">
        <f t="shared" si="2"/>
        <v>-2.7935424640782636E-2</v>
      </c>
      <c r="M62" s="11">
        <f t="shared" si="3"/>
        <v>6.5710349650349685E-3</v>
      </c>
      <c r="N62" s="11">
        <f t="shared" si="4"/>
        <v>-2.8393999999999999E-2</v>
      </c>
      <c r="O62" s="11">
        <f t="shared" si="5"/>
        <v>-2.6017574144486692E-2</v>
      </c>
      <c r="P62" s="11">
        <f t="shared" si="6"/>
        <v>0.1742512527161077</v>
      </c>
      <c r="U62" s="3">
        <v>59</v>
      </c>
      <c r="V62" s="4" t="s">
        <v>58</v>
      </c>
      <c r="W62" s="5">
        <v>2.8393999999999999E-2</v>
      </c>
      <c r="X62" s="5">
        <v>0.1661</v>
      </c>
      <c r="Z62" s="7" t="s">
        <v>66</v>
      </c>
      <c r="AA62" s="15">
        <v>0.110945644080417</v>
      </c>
      <c r="AB62" s="15">
        <v>-4.1823559195829918E-3</v>
      </c>
      <c r="AC62" s="15">
        <v>-1.3103234549189316E-2</v>
      </c>
      <c r="AE62" s="7" t="s">
        <v>30</v>
      </c>
      <c r="AF62" s="15">
        <v>0.1299296851115867</v>
      </c>
      <c r="AG62" s="15">
        <v>-9.2331488841329579E-4</v>
      </c>
      <c r="AH62" s="15">
        <v>-2.737792035574105E-3</v>
      </c>
      <c r="AJ62" s="7" t="s">
        <v>7</v>
      </c>
      <c r="AK62" s="15">
        <v>6.993006993006993E-3</v>
      </c>
      <c r="AL62" s="15">
        <v>-1.4199930069930073E-3</v>
      </c>
      <c r="AM62" s="15">
        <v>-1.5546574339190778E-2</v>
      </c>
      <c r="AO62" s="7" t="s">
        <v>1</v>
      </c>
      <c r="AP62" s="15">
        <v>0.12871287128712869</v>
      </c>
      <c r="AQ62" s="15">
        <v>-2.1520128712871317E-2</v>
      </c>
      <c r="AR62" s="15">
        <v>-6.0228510732676897E-2</v>
      </c>
      <c r="AT62" s="7" t="s">
        <v>20</v>
      </c>
      <c r="AU62" s="15">
        <v>0.11834600760456269</v>
      </c>
      <c r="AV62" s="15">
        <v>6.1400760456269132E-4</v>
      </c>
      <c r="AW62" s="15">
        <v>1.9050869055215539E-3</v>
      </c>
      <c r="AY62" s="7" t="s">
        <v>99</v>
      </c>
      <c r="AZ62" s="15">
        <v>0.45299952763344348</v>
      </c>
      <c r="BA62" s="15">
        <v>-7.0634723665565224E-3</v>
      </c>
      <c r="BB62" s="15">
        <v>-1.4171869559617032E-2</v>
      </c>
    </row>
    <row r="63" spans="1:54" x14ac:dyDescent="0.2">
      <c r="A63" s="1" t="s">
        <v>59</v>
      </c>
      <c r="B63" s="15">
        <v>0.15770662695457929</v>
      </c>
      <c r="C63" s="15">
        <v>0.36563741974931208</v>
      </c>
      <c r="D63" s="15">
        <v>0.36363636363636359</v>
      </c>
      <c r="E63" s="15">
        <v>0.1386138613861386</v>
      </c>
      <c r="F63" s="15">
        <v>0.27970532319391628</v>
      </c>
      <c r="G63" s="15">
        <v>0.61265942371280113</v>
      </c>
      <c r="H63" s="15">
        <v>0.30261900000000003</v>
      </c>
      <c r="J63" s="1" t="s">
        <v>59</v>
      </c>
      <c r="K63" s="11">
        <f t="shared" si="1"/>
        <v>-0.14491237304542073</v>
      </c>
      <c r="L63" s="11">
        <f t="shared" si="2"/>
        <v>6.3018419749312049E-2</v>
      </c>
      <c r="M63" s="11">
        <f t="shared" si="3"/>
        <v>6.1017363636363564E-2</v>
      </c>
      <c r="N63" s="11">
        <f t="shared" si="4"/>
        <v>-0.16400513861386143</v>
      </c>
      <c r="O63" s="11">
        <f t="shared" si="5"/>
        <v>-2.2913676806083749E-2</v>
      </c>
      <c r="P63" s="11">
        <f t="shared" si="6"/>
        <v>0.31004042371280111</v>
      </c>
      <c r="U63" s="3">
        <v>60</v>
      </c>
      <c r="V63" s="4" t="s">
        <v>59</v>
      </c>
      <c r="W63" s="5">
        <v>0.30261900000000003</v>
      </c>
      <c r="X63" s="5">
        <v>0.45940300000000001</v>
      </c>
      <c r="Z63" s="7" t="s">
        <v>50</v>
      </c>
      <c r="AA63" s="15">
        <v>0.379746835443038</v>
      </c>
      <c r="AB63" s="15">
        <v>-7.0531645569619772E-3</v>
      </c>
      <c r="AC63" s="15">
        <v>-1.4482021721421059E-2</v>
      </c>
      <c r="AE63" s="7" t="s">
        <v>24</v>
      </c>
      <c r="AF63" s="15">
        <v>3.2558850504432899E-2</v>
      </c>
      <c r="AG63" s="15">
        <v>-5.4214949556709996E-4</v>
      </c>
      <c r="AH63" s="15">
        <v>-3.0303594936284973E-3</v>
      </c>
      <c r="AJ63" s="7" t="s">
        <v>49</v>
      </c>
      <c r="AK63" s="15">
        <v>0.34965034965034958</v>
      </c>
      <c r="AL63" s="15">
        <v>-7.903650349650404E-3</v>
      </c>
      <c r="AM63" s="15">
        <v>-1.6490261363950168E-2</v>
      </c>
      <c r="AO63" s="7" t="s">
        <v>30</v>
      </c>
      <c r="AP63" s="15">
        <v>0.1089108910891089</v>
      </c>
      <c r="AQ63" s="15">
        <v>-2.19421089108911E-2</v>
      </c>
      <c r="AR63" s="15">
        <v>-6.5062235835026752E-2</v>
      </c>
      <c r="AT63" s="7" t="s">
        <v>44</v>
      </c>
      <c r="AU63" s="15">
        <v>0.25641634980988592</v>
      </c>
      <c r="AV63" s="15">
        <v>7.703498098859396E-4</v>
      </c>
      <c r="AW63" s="15">
        <v>1.7659055552304139E-3</v>
      </c>
      <c r="AY63" s="7" t="s">
        <v>82</v>
      </c>
      <c r="AZ63" s="15">
        <v>2.361832782239017E-3</v>
      </c>
      <c r="BA63" s="15">
        <v>-8.4316721776098299E-4</v>
      </c>
      <c r="BB63" s="15">
        <v>-1.4917241083470145E-2</v>
      </c>
    </row>
    <row r="64" spans="1:54" x14ac:dyDescent="0.2">
      <c r="A64" s="1" t="s">
        <v>60</v>
      </c>
      <c r="B64" s="15">
        <v>0.56798212956068506</v>
      </c>
      <c r="C64" s="15">
        <v>0.38902476306939782</v>
      </c>
      <c r="D64" s="15">
        <v>0.48951048951048948</v>
      </c>
      <c r="E64" s="15">
        <v>0.47524752475247523</v>
      </c>
      <c r="F64" s="15">
        <v>0.60646387832699622</v>
      </c>
      <c r="G64" s="15">
        <v>0.42418516769012748</v>
      </c>
      <c r="H64" s="15">
        <v>0.50062600000000002</v>
      </c>
      <c r="J64" s="1" t="s">
        <v>60</v>
      </c>
      <c r="K64" s="11">
        <f t="shared" si="1"/>
        <v>6.7356129560685041E-2</v>
      </c>
      <c r="L64" s="11">
        <f t="shared" si="2"/>
        <v>-0.1116012369306022</v>
      </c>
      <c r="M64" s="11">
        <f t="shared" si="3"/>
        <v>-1.1115510489510538E-2</v>
      </c>
      <c r="N64" s="11">
        <f t="shared" si="4"/>
        <v>-2.537847524752479E-2</v>
      </c>
      <c r="O64" s="11">
        <f t="shared" si="5"/>
        <v>0.1058378783269962</v>
      </c>
      <c r="P64" s="11">
        <f t="shared" si="6"/>
        <v>-7.6440832309872531E-2</v>
      </c>
      <c r="U64" s="3">
        <v>61</v>
      </c>
      <c r="V64" s="4" t="s">
        <v>60</v>
      </c>
      <c r="W64" s="5">
        <v>0.50062600000000002</v>
      </c>
      <c r="X64" s="5">
        <v>0.50001200000000001</v>
      </c>
      <c r="Z64" s="7" t="s">
        <v>109</v>
      </c>
      <c r="AA64" s="15">
        <v>2.3678332092330601E-2</v>
      </c>
      <c r="AB64" s="15">
        <v>-2.612667907669397E-3</v>
      </c>
      <c r="AC64" s="15">
        <v>-1.632886825665392E-2</v>
      </c>
      <c r="AE64" s="7" t="s">
        <v>98</v>
      </c>
      <c r="AF64" s="15">
        <v>0.350810149801284</v>
      </c>
      <c r="AG64" s="15">
        <v>-1.5858501987159879E-3</v>
      </c>
      <c r="AH64" s="15">
        <v>-3.3195602500915534E-3</v>
      </c>
      <c r="AJ64" s="7" t="s">
        <v>74</v>
      </c>
      <c r="AK64" s="15">
        <v>0.15384615384615391</v>
      </c>
      <c r="AL64" s="15">
        <v>-6.4018461538460913E-3</v>
      </c>
      <c r="AM64" s="15">
        <v>-1.7451092842606802E-2</v>
      </c>
      <c r="AO64" s="7" t="s">
        <v>65</v>
      </c>
      <c r="AP64" s="15">
        <v>8.9108910891089105E-2</v>
      </c>
      <c r="AQ64" s="15">
        <v>-2.051108910891089E-2</v>
      </c>
      <c r="AR64" s="15">
        <v>-6.5651661717962148E-2</v>
      </c>
      <c r="AT64" s="7" t="s">
        <v>0</v>
      </c>
      <c r="AU64" s="15">
        <v>5.2281368821292772E-3</v>
      </c>
      <c r="AV64" s="15">
        <v>-2.9863117870722496E-5</v>
      </c>
      <c r="AW64" s="15">
        <v>-4.1290744249104718E-4</v>
      </c>
      <c r="AY64" s="7" t="s">
        <v>80</v>
      </c>
      <c r="AZ64" s="15">
        <v>3.2593292394898443E-2</v>
      </c>
      <c r="BA64" s="15">
        <v>-2.8117076051015558E-3</v>
      </c>
      <c r="BB64" s="15">
        <v>-1.5214374019791326E-2</v>
      </c>
    </row>
    <row r="65" spans="1:54" x14ac:dyDescent="0.2">
      <c r="A65" s="1" t="s">
        <v>61</v>
      </c>
      <c r="B65" s="15">
        <v>0.11854058078927771</v>
      </c>
      <c r="C65" s="15">
        <v>0.11479669825741361</v>
      </c>
      <c r="D65" s="15">
        <v>0.13286713286713289</v>
      </c>
      <c r="E65" s="15">
        <v>4.9504950495049507E-2</v>
      </c>
      <c r="F65" s="15">
        <v>0.1119296577946768</v>
      </c>
      <c r="G65" s="15">
        <v>5.8101086443079833E-2</v>
      </c>
      <c r="H65" s="15">
        <v>0.10936999999999999</v>
      </c>
      <c r="J65" s="1" t="s">
        <v>61</v>
      </c>
      <c r="K65" s="11">
        <f t="shared" si="1"/>
        <v>9.1705807892777103E-3</v>
      </c>
      <c r="L65" s="11">
        <f t="shared" si="2"/>
        <v>5.4266982574136119E-3</v>
      </c>
      <c r="M65" s="11">
        <f t="shared" si="3"/>
        <v>2.3497132867132897E-2</v>
      </c>
      <c r="N65" s="11">
        <f t="shared" si="4"/>
        <v>-5.9865049504950488E-2</v>
      </c>
      <c r="O65" s="11">
        <f t="shared" si="5"/>
        <v>2.5596577946768034E-3</v>
      </c>
      <c r="P65" s="11">
        <f t="shared" si="6"/>
        <v>-5.1268913556920162E-2</v>
      </c>
      <c r="U65" s="3">
        <v>62</v>
      </c>
      <c r="V65" s="4" t="s">
        <v>61</v>
      </c>
      <c r="W65" s="5">
        <v>0.10936999999999999</v>
      </c>
      <c r="X65" s="5">
        <v>0.31211</v>
      </c>
      <c r="Z65" s="7" t="s">
        <v>101</v>
      </c>
      <c r="AA65" s="15">
        <v>5.5100521221146687E-3</v>
      </c>
      <c r="AB65" s="15">
        <v>-1.3509478778853312E-3</v>
      </c>
      <c r="AC65" s="15">
        <v>-1.6366000507418061E-2</v>
      </c>
      <c r="AE65" s="7" t="s">
        <v>7</v>
      </c>
      <c r="AF65" s="15">
        <v>8.1014980128401096E-3</v>
      </c>
      <c r="AG65" s="15">
        <v>-3.1150198715989078E-4</v>
      </c>
      <c r="AH65" s="15">
        <v>-3.4104314432097348E-3</v>
      </c>
      <c r="AJ65" s="7" t="s">
        <v>111</v>
      </c>
      <c r="AK65" s="15">
        <v>0</v>
      </c>
      <c r="AL65" s="15">
        <v>-3.5100000000000002E-4</v>
      </c>
      <c r="AM65" s="15">
        <v>-1.8749999999999999E-2</v>
      </c>
      <c r="AO65" s="7" t="s">
        <v>12</v>
      </c>
      <c r="AP65" s="15">
        <v>0.38613861386138609</v>
      </c>
      <c r="AQ65" s="15">
        <v>-3.421338613861391E-2</v>
      </c>
      <c r="AR65" s="15">
        <v>-6.9310059677761202E-2</v>
      </c>
      <c r="AT65" s="7" t="s">
        <v>14</v>
      </c>
      <c r="AU65" s="15">
        <v>0.26164448669201518</v>
      </c>
      <c r="AV65" s="15">
        <v>-5.1151330798482331E-4</v>
      </c>
      <c r="AW65" s="15">
        <v>-1.1630113091888538E-3</v>
      </c>
      <c r="AY65" s="7" t="s">
        <v>4</v>
      </c>
      <c r="AZ65" s="15">
        <v>0.15304676428908831</v>
      </c>
      <c r="BA65" s="15">
        <v>-5.8492357109116988E-3</v>
      </c>
      <c r="BB65" s="15">
        <v>-1.5999484970586366E-2</v>
      </c>
    </row>
    <row r="66" spans="1:54" x14ac:dyDescent="0.2">
      <c r="A66" s="1" t="s">
        <v>62</v>
      </c>
      <c r="B66" s="15">
        <v>0.1139240506329114</v>
      </c>
      <c r="C66" s="15">
        <v>0.1004280036686029</v>
      </c>
      <c r="D66" s="15">
        <v>0.1293706293706294</v>
      </c>
      <c r="E66" s="15">
        <v>7.9207920792079209E-2</v>
      </c>
      <c r="F66" s="15">
        <v>0.11097908745247149</v>
      </c>
      <c r="G66" s="15">
        <v>6.2352385451110062E-2</v>
      </c>
      <c r="H66" s="15">
        <v>0.10346</v>
      </c>
      <c r="J66" s="1" t="s">
        <v>62</v>
      </c>
      <c r="K66" s="11">
        <f t="shared" si="1"/>
        <v>1.0464050632911406E-2</v>
      </c>
      <c r="L66" s="11">
        <f t="shared" si="2"/>
        <v>-3.0319963313970993E-3</v>
      </c>
      <c r="M66" s="11">
        <f t="shared" si="3"/>
        <v>2.5910629370629407E-2</v>
      </c>
      <c r="N66" s="11">
        <f t="shared" si="4"/>
        <v>-2.4252079207920788E-2</v>
      </c>
      <c r="O66" s="11">
        <f t="shared" si="5"/>
        <v>7.5190874524714985E-3</v>
      </c>
      <c r="P66" s="11">
        <f t="shared" si="6"/>
        <v>-4.1107614548889934E-2</v>
      </c>
      <c r="U66" s="3">
        <v>63</v>
      </c>
      <c r="V66" s="4" t="s">
        <v>62</v>
      </c>
      <c r="W66" s="5">
        <v>0.10346</v>
      </c>
      <c r="X66" s="5">
        <v>0.30456699999999998</v>
      </c>
      <c r="Z66" s="7" t="s">
        <v>4</v>
      </c>
      <c r="AA66" s="15">
        <v>0.1521965748324646</v>
      </c>
      <c r="AB66" s="15">
        <v>-6.6994251675354111E-3</v>
      </c>
      <c r="AC66" s="15">
        <v>-1.8325018442938414E-2</v>
      </c>
      <c r="AE66" s="7" t="s">
        <v>91</v>
      </c>
      <c r="AF66" s="15">
        <v>0.1329868541730358</v>
      </c>
      <c r="AG66" s="15">
        <v>-1.3211458269642151E-3</v>
      </c>
      <c r="AH66" s="15">
        <v>-3.8744188337679918E-3</v>
      </c>
      <c r="AJ66" s="7" t="s">
        <v>9</v>
      </c>
      <c r="AK66" s="15">
        <v>0.48951048951048948</v>
      </c>
      <c r="AL66" s="15">
        <v>-1.1115510489510538E-2</v>
      </c>
      <c r="AM66" s="15">
        <v>-2.2230487447322339E-2</v>
      </c>
      <c r="AO66" s="7" t="s">
        <v>3</v>
      </c>
      <c r="AP66" s="15">
        <v>0.1386138613861386</v>
      </c>
      <c r="AQ66" s="15">
        <v>-2.5691138613861408E-2</v>
      </c>
      <c r="AR66" s="15">
        <v>-6.9330389905741321E-2</v>
      </c>
      <c r="AT66" s="7" t="s">
        <v>28</v>
      </c>
      <c r="AU66" s="15">
        <v>0.4298954372623574</v>
      </c>
      <c r="AV66" s="15">
        <v>-1.0725627376426128E-3</v>
      </c>
      <c r="AW66" s="15">
        <v>-2.1658133241575788E-3</v>
      </c>
      <c r="AY66" s="7" t="s">
        <v>18</v>
      </c>
      <c r="AZ66" s="15">
        <v>0.10769957487009919</v>
      </c>
      <c r="BA66" s="15">
        <v>-5.7264251299008057E-3</v>
      </c>
      <c r="BB66" s="15">
        <v>-1.8057539960774614E-2</v>
      </c>
    </row>
    <row r="67" spans="1:54" x14ac:dyDescent="0.2">
      <c r="A67" s="1" t="s">
        <v>63</v>
      </c>
      <c r="B67" s="15">
        <v>0.1243484735666418</v>
      </c>
      <c r="C67" s="15">
        <v>0.1189238764903699</v>
      </c>
      <c r="D67" s="15">
        <v>0.1118881118881119</v>
      </c>
      <c r="E67" s="15">
        <v>9.9009900990099011E-3</v>
      </c>
      <c r="F67" s="15">
        <v>0.11359315589353609</v>
      </c>
      <c r="G67" s="15">
        <v>5.8101086443079833E-2</v>
      </c>
      <c r="H67" s="15">
        <v>0.112524</v>
      </c>
      <c r="J67" s="1" t="s">
        <v>63</v>
      </c>
      <c r="K67" s="11">
        <f t="shared" si="1"/>
        <v>1.1824473566641805E-2</v>
      </c>
      <c r="L67" s="11">
        <f t="shared" si="2"/>
        <v>6.3998764903698963E-3</v>
      </c>
      <c r="M67" s="11">
        <f t="shared" si="3"/>
        <v>-6.3588811188809713E-4</v>
      </c>
      <c r="N67" s="11">
        <f t="shared" si="4"/>
        <v>-0.1026230099009901</v>
      </c>
      <c r="O67" s="11">
        <f t="shared" si="5"/>
        <v>1.0691558935360945E-3</v>
      </c>
      <c r="P67" s="11">
        <f t="shared" si="6"/>
        <v>-5.4422913556920166E-2</v>
      </c>
      <c r="U67" s="3">
        <v>64</v>
      </c>
      <c r="V67" s="4" t="s">
        <v>63</v>
      </c>
      <c r="W67" s="5">
        <v>0.112524</v>
      </c>
      <c r="X67" s="5">
        <v>0.31601800000000002</v>
      </c>
      <c r="Z67" s="7" t="s">
        <v>111</v>
      </c>
      <c r="AA67" s="15">
        <v>0</v>
      </c>
      <c r="AB67" s="15">
        <v>-3.5100000000000002E-4</v>
      </c>
      <c r="AC67" s="15">
        <v>-1.8749999999999999E-2</v>
      </c>
      <c r="AE67" s="7" t="s">
        <v>108</v>
      </c>
      <c r="AF67" s="15">
        <v>6.5270559461938243E-2</v>
      </c>
      <c r="AG67" s="15">
        <v>-1.0324405380617574E-3</v>
      </c>
      <c r="AH67" s="15">
        <v>-4.1493970993210167E-3</v>
      </c>
      <c r="AJ67" s="7" t="s">
        <v>60</v>
      </c>
      <c r="AK67" s="15">
        <v>0.48951048951048948</v>
      </c>
      <c r="AL67" s="15">
        <v>-1.1115510489510538E-2</v>
      </c>
      <c r="AM67" s="15">
        <v>-2.2230487447322339E-2</v>
      </c>
      <c r="AO67" s="7" t="s">
        <v>36</v>
      </c>
      <c r="AP67" s="15">
        <v>8.9108910891089105E-2</v>
      </c>
      <c r="AQ67" s="15">
        <v>-2.2714089108910901E-2</v>
      </c>
      <c r="AR67" s="15">
        <v>-7.207229764501788E-2</v>
      </c>
      <c r="AT67" s="7" t="s">
        <v>66</v>
      </c>
      <c r="AU67" s="15">
        <v>0.1143060836501901</v>
      </c>
      <c r="AV67" s="15">
        <v>-8.2191634980989525E-4</v>
      </c>
      <c r="AW67" s="15">
        <v>-2.5750469157695233E-3</v>
      </c>
      <c r="AY67" s="7" t="s">
        <v>111</v>
      </c>
      <c r="AZ67" s="15">
        <v>0</v>
      </c>
      <c r="BA67" s="15">
        <v>-3.5100000000000002E-4</v>
      </c>
      <c r="BB67" s="15">
        <v>-1.8749999999999999E-2</v>
      </c>
    </row>
    <row r="68" spans="1:54" x14ac:dyDescent="0.2">
      <c r="A68" s="1" t="s">
        <v>64</v>
      </c>
      <c r="B68" s="15">
        <v>0.11586001489203281</v>
      </c>
      <c r="C68" s="15">
        <v>0.11342097217976151</v>
      </c>
      <c r="D68" s="15">
        <v>0.11888111888111889</v>
      </c>
      <c r="E68" s="15">
        <v>8.9108910891089105E-2</v>
      </c>
      <c r="F68" s="15">
        <v>0.1007604562737643</v>
      </c>
      <c r="G68" s="15">
        <v>7.4633915918752958E-2</v>
      </c>
      <c r="H68" s="15">
        <v>0.107416</v>
      </c>
      <c r="J68" s="1" t="s">
        <v>64</v>
      </c>
      <c r="K68" s="11">
        <f t="shared" si="1"/>
        <v>8.4440148920328084E-3</v>
      </c>
      <c r="L68" s="11">
        <f t="shared" si="2"/>
        <v>6.0049721797615085E-3</v>
      </c>
      <c r="M68" s="11">
        <f t="shared" si="3"/>
        <v>1.1465118881118896E-2</v>
      </c>
      <c r="N68" s="11">
        <f t="shared" si="4"/>
        <v>-1.8307089108910893E-2</v>
      </c>
      <c r="O68" s="11">
        <f t="shared" si="5"/>
        <v>-6.6555437262356965E-3</v>
      </c>
      <c r="P68" s="11">
        <f t="shared" si="6"/>
        <v>-3.278208408124704E-2</v>
      </c>
      <c r="U68" s="3">
        <v>65</v>
      </c>
      <c r="V68" s="4" t="s">
        <v>64</v>
      </c>
      <c r="W68" s="5">
        <v>0.107416</v>
      </c>
      <c r="X68" s="5">
        <v>0.30964999999999998</v>
      </c>
      <c r="Z68" s="7" t="s">
        <v>16</v>
      </c>
      <c r="AA68" s="15">
        <v>0.1061801935964259</v>
      </c>
      <c r="AB68" s="15">
        <v>-6.093806403574098E-3</v>
      </c>
      <c r="AC68" s="15">
        <v>-1.9301850121073064E-2</v>
      </c>
      <c r="AE68" s="7" t="s">
        <v>26</v>
      </c>
      <c r="AF68" s="15">
        <v>8.7893610516661572E-2</v>
      </c>
      <c r="AG68" s="15">
        <v>-1.3443894833384262E-3</v>
      </c>
      <c r="AH68" s="15">
        <v>-4.7155842204823877E-3</v>
      </c>
      <c r="AJ68" s="7" t="s">
        <v>112</v>
      </c>
      <c r="AK68" s="15">
        <v>3.4965034965034969E-3</v>
      </c>
      <c r="AL68" s="15">
        <v>-1.6114965034965028E-3</v>
      </c>
      <c r="AM68" s="15">
        <v>-2.2605121456276602E-2</v>
      </c>
      <c r="AO68" s="7" t="s">
        <v>90</v>
      </c>
      <c r="AP68" s="15">
        <v>0.2277227722772277</v>
      </c>
      <c r="AQ68" s="15">
        <v>-3.3482227722772318E-2</v>
      </c>
      <c r="AR68" s="15">
        <v>-7.6216879783775893E-2</v>
      </c>
      <c r="AT68" s="7" t="s">
        <v>69</v>
      </c>
      <c r="AU68" s="15">
        <v>8.3174904942965783E-2</v>
      </c>
      <c r="AV68" s="15">
        <v>-9.0509505703421922E-4</v>
      </c>
      <c r="AW68" s="15">
        <v>-3.2614275157530916E-3</v>
      </c>
      <c r="AY68" s="7" t="s">
        <v>97</v>
      </c>
      <c r="AZ68" s="15">
        <v>9.7307510628247523E-2</v>
      </c>
      <c r="BA68" s="15">
        <v>-5.7524893717524755E-3</v>
      </c>
      <c r="BB68" s="15">
        <v>-1.8919861769647505E-2</v>
      </c>
    </row>
    <row r="69" spans="1:54" x14ac:dyDescent="0.2">
      <c r="A69" s="1" t="s">
        <v>65</v>
      </c>
      <c r="B69" s="15">
        <v>0.1206254653760238</v>
      </c>
      <c r="C69" s="15">
        <v>0.1163252827881382</v>
      </c>
      <c r="D69" s="15">
        <v>0.10139860139860141</v>
      </c>
      <c r="E69" s="15">
        <v>8.9108910891089105E-2</v>
      </c>
      <c r="F69" s="15">
        <v>0.10289923954372621</v>
      </c>
      <c r="G69" s="15">
        <v>6.9437883797827116E-2</v>
      </c>
      <c r="H69" s="15">
        <v>0.10962</v>
      </c>
      <c r="J69" s="1" t="s">
        <v>65</v>
      </c>
      <c r="K69" s="11">
        <f t="shared" ref="K69:K118" si="7">B69-$H69</f>
        <v>1.1005465376023801E-2</v>
      </c>
      <c r="L69" s="11">
        <f t="shared" ref="L69:L118" si="8">C69-$H69</f>
        <v>6.7052827881382004E-3</v>
      </c>
      <c r="M69" s="11">
        <f t="shared" ref="M69:M118" si="9">D69-$H69</f>
        <v>-8.2213986013985885E-3</v>
      </c>
      <c r="N69" s="11">
        <f t="shared" ref="N69:N118" si="10">E69-$H69</f>
        <v>-2.051108910891089E-2</v>
      </c>
      <c r="O69" s="11">
        <f t="shared" ref="O69:O118" si="11">F69-$H69</f>
        <v>-6.7207604562737888E-3</v>
      </c>
      <c r="P69" s="11">
        <f t="shared" ref="P69:P118" si="12">G69-$H69</f>
        <v>-4.0182116202172879E-2</v>
      </c>
      <c r="U69" s="3">
        <v>66</v>
      </c>
      <c r="V69" s="4" t="s">
        <v>65</v>
      </c>
      <c r="W69" s="5">
        <v>0.10962</v>
      </c>
      <c r="X69" s="5">
        <v>0.31242300000000001</v>
      </c>
      <c r="Z69" s="7" t="s">
        <v>36</v>
      </c>
      <c r="AA69" s="15">
        <v>0.10573343261355179</v>
      </c>
      <c r="AB69" s="15">
        <v>-6.0895673864482108E-3</v>
      </c>
      <c r="AC69" s="15">
        <v>-1.9322329462611365E-2</v>
      </c>
      <c r="AE69" s="7" t="s">
        <v>5</v>
      </c>
      <c r="AF69" s="15">
        <v>0.17441149495567099</v>
      </c>
      <c r="AG69" s="15">
        <v>-2.7635050443290121E-3</v>
      </c>
      <c r="AH69" s="15">
        <v>-7.2376031080361525E-3</v>
      </c>
      <c r="AJ69" s="7" t="s">
        <v>65</v>
      </c>
      <c r="AK69" s="15">
        <v>0.10139860139860141</v>
      </c>
      <c r="AL69" s="15">
        <v>-8.2213986013985885E-3</v>
      </c>
      <c r="AM69" s="15">
        <v>-2.6314959530503799E-2</v>
      </c>
      <c r="AO69" s="7" t="s">
        <v>40</v>
      </c>
      <c r="AP69" s="15">
        <v>9.9009900990099015E-2</v>
      </c>
      <c r="AQ69" s="15">
        <v>-2.5182099009900982E-2</v>
      </c>
      <c r="AR69" s="15">
        <v>-7.6353583467707015E-2</v>
      </c>
      <c r="AT69" s="7" t="s">
        <v>108</v>
      </c>
      <c r="AU69" s="15">
        <v>6.5351711026615966E-2</v>
      </c>
      <c r="AV69" s="15">
        <v>-9.5128897338403462E-4</v>
      </c>
      <c r="AW69" s="15">
        <v>-3.8232475007094957E-3</v>
      </c>
      <c r="AY69" s="7" t="s">
        <v>7</v>
      </c>
      <c r="AZ69" s="15">
        <v>6.6131317902692489E-3</v>
      </c>
      <c r="BA69" s="15">
        <v>-1.7998682097307515E-3</v>
      </c>
      <c r="BB69" s="15">
        <v>-1.970557938350688E-2</v>
      </c>
    </row>
    <row r="70" spans="1:54" x14ac:dyDescent="0.2">
      <c r="A70" s="1" t="s">
        <v>66</v>
      </c>
      <c r="B70" s="15">
        <v>0.110945644080417</v>
      </c>
      <c r="C70" s="15">
        <v>0.1239682054417609</v>
      </c>
      <c r="D70" s="15">
        <v>0.11888111888111889</v>
      </c>
      <c r="E70" s="15">
        <v>6.9306930693069313E-2</v>
      </c>
      <c r="F70" s="15">
        <v>0.1143060836501901</v>
      </c>
      <c r="G70" s="15">
        <v>0.1043930089749646</v>
      </c>
      <c r="H70" s="15">
        <v>0.11512799999999999</v>
      </c>
      <c r="J70" s="1" t="s">
        <v>66</v>
      </c>
      <c r="K70" s="11">
        <f t="shared" si="7"/>
        <v>-4.1823559195829918E-3</v>
      </c>
      <c r="L70" s="11">
        <f t="shared" si="8"/>
        <v>8.8402054417609094E-3</v>
      </c>
      <c r="M70" s="11">
        <f t="shared" si="9"/>
        <v>3.7531188811188998E-3</v>
      </c>
      <c r="N70" s="11">
        <f t="shared" si="10"/>
        <v>-4.5821069306930681E-2</v>
      </c>
      <c r="O70" s="11">
        <f t="shared" si="11"/>
        <v>-8.2191634980989525E-4</v>
      </c>
      <c r="P70" s="11">
        <f t="shared" si="12"/>
        <v>-1.073499102503539E-2</v>
      </c>
      <c r="U70" s="3">
        <v>67</v>
      </c>
      <c r="V70" s="4" t="s">
        <v>66</v>
      </c>
      <c r="W70" s="5">
        <v>0.11512799999999999</v>
      </c>
      <c r="X70" s="5">
        <v>0.319185</v>
      </c>
      <c r="Z70" s="7" t="s">
        <v>38</v>
      </c>
      <c r="AA70" s="15">
        <v>9.6500372300819065E-2</v>
      </c>
      <c r="AB70" s="15">
        <v>-6.0086276991809379E-3</v>
      </c>
      <c r="AC70" s="15">
        <v>-1.98092722606221E-2</v>
      </c>
      <c r="AE70" s="7" t="s">
        <v>87</v>
      </c>
      <c r="AF70" s="15">
        <v>5.9309079792112501E-2</v>
      </c>
      <c r="AG70" s="15">
        <v>-1.7859202078874953E-3</v>
      </c>
      <c r="AH70" s="15">
        <v>-7.4565580054590424E-3</v>
      </c>
      <c r="AJ70" s="7" t="s">
        <v>41</v>
      </c>
      <c r="AK70" s="15">
        <v>0.13636363636363641</v>
      </c>
      <c r="AL70" s="15">
        <v>-1.0013363636363598E-2</v>
      </c>
      <c r="AM70" s="15">
        <v>-2.8326907849274521E-2</v>
      </c>
      <c r="AO70" s="7" t="s">
        <v>89</v>
      </c>
      <c r="AP70" s="15">
        <v>0</v>
      </c>
      <c r="AQ70" s="15">
        <v>-5.9090000000000002E-3</v>
      </c>
      <c r="AR70" s="15">
        <v>-7.7094695091720372E-2</v>
      </c>
      <c r="AT70" s="7" t="s">
        <v>38</v>
      </c>
      <c r="AU70" s="15">
        <v>0.1007604562737643</v>
      </c>
      <c r="AV70" s="15">
        <v>-1.7485437262357018E-3</v>
      </c>
      <c r="AW70" s="15">
        <v>-5.764607239241543E-3</v>
      </c>
      <c r="AY70" s="7" t="s">
        <v>16</v>
      </c>
      <c r="AZ70" s="15">
        <v>0.1053377420878602</v>
      </c>
      <c r="BA70" s="15">
        <v>-6.9362579121397955E-3</v>
      </c>
      <c r="BB70" s="15">
        <v>-2.1970276335445377E-2</v>
      </c>
    </row>
    <row r="71" spans="1:54" x14ac:dyDescent="0.2">
      <c r="A71" s="1" t="s">
        <v>67</v>
      </c>
      <c r="B71" s="15">
        <v>0.118391660461653</v>
      </c>
      <c r="C71" s="15">
        <v>0.11556099052277589</v>
      </c>
      <c r="D71" s="15">
        <v>8.3916083916083919E-2</v>
      </c>
      <c r="E71" s="15">
        <v>0.21782178217821779</v>
      </c>
      <c r="F71" s="15">
        <v>0.123574144486692</v>
      </c>
      <c r="G71" s="15">
        <v>0.12990080302314599</v>
      </c>
      <c r="H71" s="15">
        <v>0.119786</v>
      </c>
      <c r="J71" s="1" t="s">
        <v>67</v>
      </c>
      <c r="K71" s="11">
        <f t="shared" si="7"/>
        <v>-1.3943395383470003E-3</v>
      </c>
      <c r="L71" s="11">
        <f t="shared" si="8"/>
        <v>-4.2250094772241092E-3</v>
      </c>
      <c r="M71" s="11">
        <f t="shared" si="9"/>
        <v>-3.5869916083916084E-2</v>
      </c>
      <c r="N71" s="11">
        <f t="shared" si="10"/>
        <v>9.803578217821779E-2</v>
      </c>
      <c r="O71" s="11">
        <f t="shared" si="11"/>
        <v>3.7881444866919994E-3</v>
      </c>
      <c r="P71" s="11">
        <f t="shared" si="12"/>
        <v>1.0114803023145991E-2</v>
      </c>
      <c r="U71" s="3">
        <v>68</v>
      </c>
      <c r="V71" s="4" t="s">
        <v>67</v>
      </c>
      <c r="W71" s="5">
        <v>0.119786</v>
      </c>
      <c r="X71" s="5">
        <v>0.32471899999999998</v>
      </c>
      <c r="Z71" s="7" t="s">
        <v>80</v>
      </c>
      <c r="AA71" s="15">
        <v>3.1720029784065518E-2</v>
      </c>
      <c r="AB71" s="15">
        <v>-3.6849702159344813E-3</v>
      </c>
      <c r="AC71" s="15">
        <v>-1.993966762948433E-2</v>
      </c>
      <c r="AE71" s="7" t="s">
        <v>1</v>
      </c>
      <c r="AF71" s="15">
        <v>0.14720269030877409</v>
      </c>
      <c r="AG71" s="15">
        <v>-3.0303096912259186E-3</v>
      </c>
      <c r="AH71" s="15">
        <v>-8.4809455462120029E-3</v>
      </c>
      <c r="AJ71" s="7" t="s">
        <v>14</v>
      </c>
      <c r="AK71" s="15">
        <v>0.24825174825174831</v>
      </c>
      <c r="AL71" s="15">
        <v>-1.3904251748251689E-2</v>
      </c>
      <c r="AM71" s="15">
        <v>-3.1613648709811079E-2</v>
      </c>
      <c r="AO71" s="7" t="s">
        <v>62</v>
      </c>
      <c r="AP71" s="15">
        <v>7.9207920792079209E-2</v>
      </c>
      <c r="AQ71" s="15">
        <v>-2.4252079207920788E-2</v>
      </c>
      <c r="AR71" s="15">
        <v>-7.9628059533438586E-2</v>
      </c>
      <c r="AT71" s="7" t="s">
        <v>25</v>
      </c>
      <c r="AU71" s="15">
        <v>0.11097908745247149</v>
      </c>
      <c r="AV71" s="15">
        <v>-2.4969125475284987E-3</v>
      </c>
      <c r="AW71" s="15">
        <v>-7.8721760614678584E-3</v>
      </c>
      <c r="AY71" s="7" t="s">
        <v>87</v>
      </c>
      <c r="AZ71" s="15">
        <v>5.4794520547945202E-2</v>
      </c>
      <c r="BA71" s="15">
        <v>-6.3004794520547941E-3</v>
      </c>
      <c r="BB71" s="15">
        <v>-2.6305705198341588E-2</v>
      </c>
    </row>
    <row r="72" spans="1:54" x14ac:dyDescent="0.2">
      <c r="A72" s="1" t="s">
        <v>68</v>
      </c>
      <c r="B72" s="15">
        <v>0.1005212211466865</v>
      </c>
      <c r="C72" s="15">
        <v>0.11143381228981961</v>
      </c>
      <c r="D72" s="15">
        <v>0.10139860139860141</v>
      </c>
      <c r="E72" s="15">
        <v>0.21782178217821779</v>
      </c>
      <c r="F72" s="15">
        <v>0.1247623574144487</v>
      </c>
      <c r="G72" s="15">
        <v>0.16532829475673119</v>
      </c>
      <c r="H72" s="15">
        <v>0.11668100000000001</v>
      </c>
      <c r="J72" s="1" t="s">
        <v>68</v>
      </c>
      <c r="K72" s="11">
        <f t="shared" si="7"/>
        <v>-1.6159778853313503E-2</v>
      </c>
      <c r="L72" s="11">
        <f t="shared" si="8"/>
        <v>-5.247187710180401E-3</v>
      </c>
      <c r="M72" s="11">
        <f t="shared" si="9"/>
        <v>-1.52823986013986E-2</v>
      </c>
      <c r="N72" s="11">
        <f t="shared" si="10"/>
        <v>0.10114078217821779</v>
      </c>
      <c r="O72" s="11">
        <f t="shared" si="11"/>
        <v>8.0813574144486949E-3</v>
      </c>
      <c r="P72" s="11">
        <f t="shared" si="12"/>
        <v>4.8647294756731185E-2</v>
      </c>
      <c r="U72" s="3">
        <v>69</v>
      </c>
      <c r="V72" s="4" t="s">
        <v>68</v>
      </c>
      <c r="W72" s="5">
        <v>0.11668100000000001</v>
      </c>
      <c r="X72" s="5">
        <v>0.321048</v>
      </c>
      <c r="Z72" s="7" t="s">
        <v>21</v>
      </c>
      <c r="AA72" s="15">
        <v>5.212211466865227E-2</v>
      </c>
      <c r="AB72" s="15">
        <v>-4.6658853313477286E-3</v>
      </c>
      <c r="AC72" s="15">
        <v>-2.0159976025836721E-2</v>
      </c>
      <c r="AE72" s="7" t="s">
        <v>37</v>
      </c>
      <c r="AF72" s="15">
        <v>0.1053194741669214</v>
      </c>
      <c r="AG72" s="15">
        <v>-2.6975258330785984E-3</v>
      </c>
      <c r="AH72" s="15">
        <v>-8.6902027417885969E-3</v>
      </c>
      <c r="AJ72" s="7" t="s">
        <v>113</v>
      </c>
      <c r="AK72" s="15">
        <v>3.4965034965034969E-3</v>
      </c>
      <c r="AL72" s="15">
        <v>-4.2154965034965032E-3</v>
      </c>
      <c r="AM72" s="15">
        <v>-3.4345487978429692E-2</v>
      </c>
      <c r="AO72" s="7" t="s">
        <v>70</v>
      </c>
      <c r="AP72" s="15">
        <v>9.9009900990099011E-3</v>
      </c>
      <c r="AQ72" s="15">
        <v>-1.2033009900990098E-2</v>
      </c>
      <c r="AR72" s="15">
        <v>-8.2152287816033773E-2</v>
      </c>
      <c r="AT72" s="7" t="s">
        <v>23</v>
      </c>
      <c r="AU72" s="15">
        <v>7.6045627376425864E-3</v>
      </c>
      <c r="AV72" s="15">
        <v>-8.0843726235741396E-4</v>
      </c>
      <c r="AW72" s="15">
        <v>-8.851050629063632E-3</v>
      </c>
      <c r="AY72" s="7" t="s">
        <v>35</v>
      </c>
      <c r="AZ72" s="15">
        <v>0.1062824752007558</v>
      </c>
      <c r="BA72" s="15">
        <v>-8.6455247992442003E-3</v>
      </c>
      <c r="BB72" s="15">
        <v>-2.7106802153501412E-2</v>
      </c>
    </row>
    <row r="73" spans="1:54" x14ac:dyDescent="0.2">
      <c r="A73" s="1" t="s">
        <v>69</v>
      </c>
      <c r="B73" s="15">
        <v>6.5227103499627695E-2</v>
      </c>
      <c r="C73" s="15">
        <v>7.1232039131763986E-2</v>
      </c>
      <c r="D73" s="15">
        <v>8.0419580419580416E-2</v>
      </c>
      <c r="E73" s="15">
        <v>0.1683168316831683</v>
      </c>
      <c r="F73" s="15">
        <v>8.3174904942965783E-2</v>
      </c>
      <c r="G73" s="15">
        <v>0.18186112423240439</v>
      </c>
      <c r="H73" s="15">
        <v>8.4080000000000002E-2</v>
      </c>
      <c r="J73" s="1" t="s">
        <v>69</v>
      </c>
      <c r="K73" s="11">
        <f t="shared" si="7"/>
        <v>-1.8852896500372307E-2</v>
      </c>
      <c r="L73" s="11">
        <f t="shared" si="8"/>
        <v>-1.2847960868236016E-2</v>
      </c>
      <c r="M73" s="11">
        <f t="shared" si="9"/>
        <v>-3.6604195804195855E-3</v>
      </c>
      <c r="N73" s="11">
        <f t="shared" si="10"/>
        <v>8.4236831683168298E-2</v>
      </c>
      <c r="O73" s="11">
        <f t="shared" si="11"/>
        <v>-9.0509505703421922E-4</v>
      </c>
      <c r="P73" s="11">
        <f t="shared" si="12"/>
        <v>9.7781124232404384E-2</v>
      </c>
      <c r="U73" s="3">
        <v>70</v>
      </c>
      <c r="V73" s="4" t="s">
        <v>69</v>
      </c>
      <c r="W73" s="5">
        <v>8.4080000000000002E-2</v>
      </c>
      <c r="X73" s="5">
        <v>0.27751500000000001</v>
      </c>
      <c r="Z73" s="7" t="s">
        <v>40</v>
      </c>
      <c r="AA73" s="15">
        <v>0.11749813849590469</v>
      </c>
      <c r="AB73" s="15">
        <v>-6.6938615040953026E-3</v>
      </c>
      <c r="AC73" s="15">
        <v>-2.0296175980932304E-2</v>
      </c>
      <c r="AE73" s="7" t="s">
        <v>92</v>
      </c>
      <c r="AF73" s="15">
        <v>1.1922959339651479E-2</v>
      </c>
      <c r="AG73" s="15">
        <v>-1.0470406603485215E-3</v>
      </c>
      <c r="AH73" s="15">
        <v>-9.2537266266175412E-3</v>
      </c>
      <c r="AJ73" s="7" t="s">
        <v>38</v>
      </c>
      <c r="AK73" s="15">
        <v>9.0909090909090912E-2</v>
      </c>
      <c r="AL73" s="15">
        <v>-1.1599909090909091E-2</v>
      </c>
      <c r="AM73" s="15">
        <v>-3.8242635237927404E-2</v>
      </c>
      <c r="AO73" s="7" t="s">
        <v>101</v>
      </c>
      <c r="AP73" s="15">
        <v>0</v>
      </c>
      <c r="AQ73" s="15">
        <v>-6.8609999999999999E-3</v>
      </c>
      <c r="AR73" s="15">
        <v>-8.311729217648342E-2</v>
      </c>
      <c r="AT73" s="7" t="s">
        <v>35</v>
      </c>
      <c r="AU73" s="15">
        <v>0.1119296577946768</v>
      </c>
      <c r="AV73" s="15">
        <v>-2.9983422053232039E-3</v>
      </c>
      <c r="AW73" s="15">
        <v>-9.4008716457900134E-3</v>
      </c>
      <c r="AY73" s="7" t="s">
        <v>33</v>
      </c>
      <c r="AZ73" s="15">
        <v>0.1124232404345772</v>
      </c>
      <c r="BA73" s="15">
        <v>-9.5657595654227989E-3</v>
      </c>
      <c r="BB73" s="15">
        <v>-2.9227970965081382E-2</v>
      </c>
    </row>
    <row r="74" spans="1:54" x14ac:dyDescent="0.2">
      <c r="A74" s="1" t="s">
        <v>70</v>
      </c>
      <c r="B74" s="15">
        <v>1.161578555472822E-2</v>
      </c>
      <c r="C74" s="15">
        <v>1.39101192295934E-2</v>
      </c>
      <c r="D74" s="15">
        <v>2.097902097902098E-2</v>
      </c>
      <c r="E74" s="15">
        <v>9.9009900990099011E-3</v>
      </c>
      <c r="F74" s="15">
        <v>1.4020912547528521E-2</v>
      </c>
      <c r="G74" s="15">
        <v>9.5890410958904104E-2</v>
      </c>
      <c r="H74" s="15">
        <v>2.1933999999999999E-2</v>
      </c>
      <c r="J74" s="1" t="s">
        <v>70</v>
      </c>
      <c r="K74" s="11">
        <f t="shared" si="7"/>
        <v>-1.0318214445271779E-2</v>
      </c>
      <c r="L74" s="11">
        <f t="shared" si="8"/>
        <v>-8.0238807704065985E-3</v>
      </c>
      <c r="M74" s="11">
        <f t="shared" si="9"/>
        <v>-9.5497902097901877E-4</v>
      </c>
      <c r="N74" s="11">
        <f t="shared" si="10"/>
        <v>-1.2033009900990098E-2</v>
      </c>
      <c r="O74" s="11">
        <f t="shared" si="11"/>
        <v>-7.9130874524714779E-3</v>
      </c>
      <c r="P74" s="11">
        <f t="shared" si="12"/>
        <v>7.3956410958904109E-2</v>
      </c>
      <c r="U74" s="3">
        <v>71</v>
      </c>
      <c r="V74" s="4" t="s">
        <v>70</v>
      </c>
      <c r="W74" s="5">
        <v>2.1933999999999999E-2</v>
      </c>
      <c r="X74" s="5">
        <v>0.14647199999999999</v>
      </c>
      <c r="Z74" s="7" t="s">
        <v>8</v>
      </c>
      <c r="AA74" s="15">
        <v>1.0126582278481009E-2</v>
      </c>
      <c r="AB74" s="15">
        <v>-2.3924177215189912E-3</v>
      </c>
      <c r="AC74" s="15">
        <v>-2.1516482790889389E-2</v>
      </c>
      <c r="AE74" s="7" t="s">
        <v>62</v>
      </c>
      <c r="AF74" s="15">
        <v>0.1004280036686029</v>
      </c>
      <c r="AG74" s="15">
        <v>-3.0319963313970993E-3</v>
      </c>
      <c r="AH74" s="15">
        <v>-9.955104562861701E-3</v>
      </c>
      <c r="AJ74" s="7" t="s">
        <v>29</v>
      </c>
      <c r="AK74" s="15">
        <v>0.32867132867132859</v>
      </c>
      <c r="AL74" s="15">
        <v>-1.96186713286714E-2</v>
      </c>
      <c r="AM74" s="15">
        <v>-4.117763271066955E-2</v>
      </c>
      <c r="AO74" s="7" t="s">
        <v>39</v>
      </c>
      <c r="AP74" s="15">
        <v>5.9405940594059403E-2</v>
      </c>
      <c r="AQ74" s="15">
        <v>-2.3823059405940594E-2</v>
      </c>
      <c r="AR74" s="15">
        <v>-8.6242001940161794E-2</v>
      </c>
      <c r="AT74" s="7" t="s">
        <v>26</v>
      </c>
      <c r="AU74" s="15">
        <v>8.6501901140684415E-2</v>
      </c>
      <c r="AV74" s="15">
        <v>-2.7360988593155833E-3</v>
      </c>
      <c r="AW74" s="15">
        <v>-9.5971478255163483E-3</v>
      </c>
      <c r="AY74" s="7" t="s">
        <v>98</v>
      </c>
      <c r="AZ74" s="15">
        <v>0.33821445441662729</v>
      </c>
      <c r="BA74" s="15">
        <v>-1.4181545583372701E-2</v>
      </c>
      <c r="BB74" s="15">
        <v>-2.9685335375019519E-2</v>
      </c>
    </row>
    <row r="75" spans="1:54" x14ac:dyDescent="0.2">
      <c r="A75" s="1" t="s">
        <v>71</v>
      </c>
      <c r="B75" s="15">
        <v>0.2287416232315711</v>
      </c>
      <c r="C75" s="15">
        <v>1.6371140324059921</v>
      </c>
      <c r="D75" s="15">
        <v>0.94755244755244761</v>
      </c>
      <c r="E75" s="15">
        <v>0.86138613861386137</v>
      </c>
      <c r="F75" s="15">
        <v>1.3239068441064641</v>
      </c>
      <c r="G75" s="15">
        <v>0.73925366084081245</v>
      </c>
      <c r="H75" s="15">
        <v>0.98853199999999997</v>
      </c>
      <c r="J75" s="1" t="s">
        <v>71</v>
      </c>
      <c r="K75" s="11">
        <f t="shared" si="7"/>
        <v>-0.75979037676842887</v>
      </c>
      <c r="L75" s="11">
        <f t="shared" si="8"/>
        <v>0.6485820324059921</v>
      </c>
      <c r="M75" s="11">
        <f t="shared" si="9"/>
        <v>-4.0979552447552359E-2</v>
      </c>
      <c r="N75" s="11">
        <f t="shared" si="10"/>
        <v>-0.12714586138613859</v>
      </c>
      <c r="O75" s="11">
        <f t="shared" si="11"/>
        <v>0.33537484410646412</v>
      </c>
      <c r="P75" s="11">
        <f t="shared" si="12"/>
        <v>-0.24927833915918751</v>
      </c>
      <c r="U75" s="3">
        <v>72</v>
      </c>
      <c r="V75" s="4" t="s">
        <v>71</v>
      </c>
      <c r="W75" s="5">
        <v>0.98853199999999997</v>
      </c>
      <c r="X75" s="5">
        <v>0.81121600000000005</v>
      </c>
      <c r="Z75" s="7" t="s">
        <v>85</v>
      </c>
      <c r="AA75" s="15">
        <v>3.6187639612807153E-2</v>
      </c>
      <c r="AB75" s="15">
        <v>-4.2753603871928461E-3</v>
      </c>
      <c r="AC75" s="15">
        <v>-2.1697160510907785E-2</v>
      </c>
      <c r="AE75" s="7" t="s">
        <v>23</v>
      </c>
      <c r="AF75" s="15">
        <v>7.4900642005502902E-3</v>
      </c>
      <c r="AG75" s="15">
        <v>-9.2293579944971015E-4</v>
      </c>
      <c r="AH75" s="15">
        <v>-1.010462019586273E-2</v>
      </c>
      <c r="AJ75" s="7" t="s">
        <v>16</v>
      </c>
      <c r="AK75" s="15">
        <v>9.7902097902097904E-2</v>
      </c>
      <c r="AL75" s="15">
        <v>-1.4371902097902095E-2</v>
      </c>
      <c r="AM75" s="15">
        <v>-4.5522335610422487E-2</v>
      </c>
      <c r="AO75" s="7" t="s">
        <v>54</v>
      </c>
      <c r="AP75" s="15">
        <v>6.9306930693069313E-2</v>
      </c>
      <c r="AQ75" s="15">
        <v>-2.6992069306930683E-2</v>
      </c>
      <c r="AR75" s="15">
        <v>-9.1495748627772988E-2</v>
      </c>
      <c r="AT75" s="7" t="s">
        <v>48</v>
      </c>
      <c r="AU75" s="15">
        <v>2.305133079847909E-2</v>
      </c>
      <c r="AV75" s="15">
        <v>-1.6366692015209114E-3</v>
      </c>
      <c r="AW75" s="15">
        <v>-1.0547112017379581E-2</v>
      </c>
      <c r="AY75" s="7" t="s">
        <v>85</v>
      </c>
      <c r="AZ75" s="15">
        <v>3.4482758620689648E-2</v>
      </c>
      <c r="BA75" s="15">
        <v>-5.9802413793103512E-3</v>
      </c>
      <c r="BB75" s="15">
        <v>-3.0349314525521073E-2</v>
      </c>
    </row>
    <row r="76" spans="1:54" x14ac:dyDescent="0.2">
      <c r="A76" s="1" t="s">
        <v>72</v>
      </c>
      <c r="B76" s="15">
        <v>2.7658972449739392</v>
      </c>
      <c r="C76" s="15">
        <v>2.1786915316417002</v>
      </c>
      <c r="D76" s="15">
        <v>3.2237762237762242</v>
      </c>
      <c r="E76" s="15">
        <v>2.3663366336633662</v>
      </c>
      <c r="F76" s="15">
        <v>5.2136406844106462</v>
      </c>
      <c r="G76" s="15">
        <v>3.060935285781766</v>
      </c>
      <c r="H76" s="15">
        <v>3.1251440000000001</v>
      </c>
      <c r="J76" s="1" t="s">
        <v>72</v>
      </c>
      <c r="K76" s="11">
        <f t="shared" si="7"/>
        <v>-0.35924675502606096</v>
      </c>
      <c r="L76" s="11">
        <f t="shared" si="8"/>
        <v>-0.94645246835829999</v>
      </c>
      <c r="M76" s="11">
        <f t="shared" si="9"/>
        <v>9.8632223776224048E-2</v>
      </c>
      <c r="N76" s="11">
        <f t="shared" si="10"/>
        <v>-0.75880736633663393</v>
      </c>
      <c r="O76" s="11">
        <f t="shared" si="11"/>
        <v>2.0884966844106461</v>
      </c>
      <c r="P76" s="11">
        <f t="shared" si="12"/>
        <v>-6.4208714218234153E-2</v>
      </c>
      <c r="U76" s="3">
        <v>73</v>
      </c>
      <c r="V76" s="4" t="s">
        <v>72</v>
      </c>
      <c r="W76" s="5">
        <v>3.1251440000000001</v>
      </c>
      <c r="X76" s="5">
        <v>1.7135670000000001</v>
      </c>
      <c r="Z76" s="7" t="s">
        <v>82</v>
      </c>
      <c r="AA76" s="15">
        <v>1.9359642591213701E-3</v>
      </c>
      <c r="AB76" s="15">
        <v>-1.2690357408786299E-3</v>
      </c>
      <c r="AC76" s="15">
        <v>-2.245166995521522E-2</v>
      </c>
      <c r="AE76" s="7" t="s">
        <v>25</v>
      </c>
      <c r="AF76" s="15">
        <v>0.11005808621216751</v>
      </c>
      <c r="AG76" s="15">
        <v>-3.4179137878324883E-3</v>
      </c>
      <c r="AH76" s="15">
        <v>-1.0775875641847545E-2</v>
      </c>
      <c r="AJ76" s="7" t="s">
        <v>68</v>
      </c>
      <c r="AK76" s="15">
        <v>0.10139860139860141</v>
      </c>
      <c r="AL76" s="15">
        <v>-1.52823986013986E-2</v>
      </c>
      <c r="AM76" s="15">
        <v>-4.7601600388099602E-2</v>
      </c>
      <c r="AO76" s="7" t="s">
        <v>83</v>
      </c>
      <c r="AP76" s="15">
        <v>0</v>
      </c>
      <c r="AQ76" s="15">
        <v>-1.0066E-2</v>
      </c>
      <c r="AR76" s="15">
        <v>-0.10083747395415933</v>
      </c>
      <c r="AT76" s="7" t="s">
        <v>109</v>
      </c>
      <c r="AU76" s="15">
        <v>2.447718631178707E-2</v>
      </c>
      <c r="AV76" s="15">
        <v>-1.8138136882129285E-3</v>
      </c>
      <c r="AW76" s="15">
        <v>-1.1336122999024572E-2</v>
      </c>
      <c r="AY76" s="7" t="s">
        <v>6</v>
      </c>
      <c r="AZ76" s="15">
        <v>0.15540859707132729</v>
      </c>
      <c r="BA76" s="15">
        <v>-1.1500402928672715E-2</v>
      </c>
      <c r="BB76" s="15">
        <v>-3.08401168361635E-2</v>
      </c>
    </row>
    <row r="77" spans="1:54" x14ac:dyDescent="0.2">
      <c r="A77" s="1" t="s">
        <v>73</v>
      </c>
      <c r="B77" s="15">
        <v>0.209084139985108</v>
      </c>
      <c r="C77" s="15">
        <v>0.29608682360134508</v>
      </c>
      <c r="D77" s="15">
        <v>0.1713286713286713</v>
      </c>
      <c r="E77" s="15">
        <v>0.38613861386138609</v>
      </c>
      <c r="F77" s="15">
        <v>0</v>
      </c>
      <c r="G77" s="15">
        <v>0.23334907888521489</v>
      </c>
      <c r="H77" s="15">
        <v>0.19645499999999999</v>
      </c>
      <c r="J77" s="1" t="s">
        <v>73</v>
      </c>
      <c r="K77" s="11">
        <f t="shared" si="7"/>
        <v>1.2629139985108007E-2</v>
      </c>
      <c r="L77" s="11">
        <f t="shared" si="8"/>
        <v>9.9631823601345093E-2</v>
      </c>
      <c r="M77" s="11">
        <f t="shared" si="9"/>
        <v>-2.512632867132869E-2</v>
      </c>
      <c r="N77" s="11">
        <f t="shared" si="10"/>
        <v>0.1896836138613861</v>
      </c>
      <c r="O77" s="11">
        <f t="shared" si="11"/>
        <v>-0.19645499999999999</v>
      </c>
      <c r="P77" s="11">
        <f t="shared" si="12"/>
        <v>3.6894078885214898E-2</v>
      </c>
      <c r="U77" s="3">
        <v>74</v>
      </c>
      <c r="V77" s="4" t="s">
        <v>73</v>
      </c>
      <c r="W77" s="5">
        <v>0.19645499999999999</v>
      </c>
      <c r="X77" s="5">
        <v>0.39732600000000001</v>
      </c>
      <c r="Z77" s="7" t="s">
        <v>3</v>
      </c>
      <c r="AA77" s="15">
        <v>0.15487714072970959</v>
      </c>
      <c r="AB77" s="15">
        <v>-9.4278592702904118E-3</v>
      </c>
      <c r="AC77" s="15">
        <v>-2.5442124968063053E-2</v>
      </c>
      <c r="AE77" s="7" t="s">
        <v>109</v>
      </c>
      <c r="AF77" s="15">
        <v>2.4304494038520329E-2</v>
      </c>
      <c r="AG77" s="15">
        <v>-1.9865059614796697E-3</v>
      </c>
      <c r="AH77" s="15">
        <v>-1.2415429469945373E-2</v>
      </c>
      <c r="AJ77" s="7" t="s">
        <v>40</v>
      </c>
      <c r="AK77" s="15">
        <v>0.1083916083916084</v>
      </c>
      <c r="AL77" s="15">
        <v>-1.5800391608391598E-2</v>
      </c>
      <c r="AM77" s="15">
        <v>-4.7907702968662459E-2</v>
      </c>
      <c r="AO77" s="7" t="s">
        <v>19</v>
      </c>
      <c r="AP77" s="15">
        <v>8.9108910891089105E-2</v>
      </c>
      <c r="AQ77" s="15">
        <v>-3.3331089108910888E-2</v>
      </c>
      <c r="AR77" s="15">
        <v>-0.10168086463711486</v>
      </c>
      <c r="AT77" s="7" t="s">
        <v>7</v>
      </c>
      <c r="AU77" s="15">
        <v>7.3669201520912544E-3</v>
      </c>
      <c r="AV77" s="15">
        <v>-1.0460798479087459E-3</v>
      </c>
      <c r="AW77" s="15">
        <v>-1.1452843809901091E-2</v>
      </c>
      <c r="AY77" s="7" t="s">
        <v>17</v>
      </c>
      <c r="AZ77" s="15">
        <v>0.105810108644308</v>
      </c>
      <c r="BA77" s="15">
        <v>-1.0219891355691998E-2</v>
      </c>
      <c r="BB77" s="15">
        <v>-3.1910335860454796E-2</v>
      </c>
    </row>
    <row r="78" spans="1:54" x14ac:dyDescent="0.2">
      <c r="A78" s="1" t="s">
        <v>74</v>
      </c>
      <c r="B78" s="15">
        <v>0.19121370067014151</v>
      </c>
      <c r="C78" s="15">
        <v>0.23784775298073979</v>
      </c>
      <c r="D78" s="15">
        <v>0.15384615384615391</v>
      </c>
      <c r="E78" s="15">
        <v>0.11881188118811881</v>
      </c>
      <c r="F78" s="15">
        <v>0</v>
      </c>
      <c r="G78" s="15">
        <v>0.14359943316013229</v>
      </c>
      <c r="H78" s="15">
        <v>0.160248</v>
      </c>
      <c r="J78" s="1" t="s">
        <v>74</v>
      </c>
      <c r="K78" s="11">
        <f t="shared" si="7"/>
        <v>3.0965700670141511E-2</v>
      </c>
      <c r="L78" s="11">
        <f t="shared" si="8"/>
        <v>7.7599752980739789E-2</v>
      </c>
      <c r="M78" s="11">
        <f t="shared" si="9"/>
        <v>-6.4018461538460913E-3</v>
      </c>
      <c r="N78" s="11">
        <f t="shared" si="10"/>
        <v>-4.1436118811881195E-2</v>
      </c>
      <c r="O78" s="11">
        <f t="shared" si="11"/>
        <v>-0.160248</v>
      </c>
      <c r="P78" s="11">
        <f t="shared" si="12"/>
        <v>-1.6648566839867707E-2</v>
      </c>
      <c r="U78" s="3">
        <v>75</v>
      </c>
      <c r="V78" s="4" t="s">
        <v>74</v>
      </c>
      <c r="W78" s="5">
        <v>0.160248</v>
      </c>
      <c r="X78" s="5">
        <v>0.36684499999999998</v>
      </c>
      <c r="Z78" s="7" t="s">
        <v>34</v>
      </c>
      <c r="AA78" s="15">
        <v>0.1103499627699181</v>
      </c>
      <c r="AB78" s="15">
        <v>-8.284037230081906E-3</v>
      </c>
      <c r="AC78" s="15">
        <v>-2.5618224699896108E-2</v>
      </c>
      <c r="AE78" s="7" t="s">
        <v>35</v>
      </c>
      <c r="AF78" s="15">
        <v>0.11082237847752981</v>
      </c>
      <c r="AG78" s="15">
        <v>-4.1056215224701958E-3</v>
      </c>
      <c r="AH78" s="15">
        <v>-1.2872587021725499E-2</v>
      </c>
      <c r="AJ78" s="7" t="s">
        <v>75</v>
      </c>
      <c r="AK78" s="15">
        <v>9.0909090909090912E-2</v>
      </c>
      <c r="AL78" s="15">
        <v>-1.5405909090909095E-2</v>
      </c>
      <c r="AM78" s="15">
        <v>-4.9978942575163811E-2</v>
      </c>
      <c r="AO78" s="7" t="s">
        <v>25</v>
      </c>
      <c r="AP78" s="15">
        <v>7.9207920792079209E-2</v>
      </c>
      <c r="AQ78" s="15">
        <v>-3.4268079207920785E-2</v>
      </c>
      <c r="AR78" s="15">
        <v>-0.10803916744304778</v>
      </c>
      <c r="AT78" s="7" t="s">
        <v>39</v>
      </c>
      <c r="AU78" s="15">
        <v>7.9847908745247151E-2</v>
      </c>
      <c r="AV78" s="15">
        <v>-3.3810912547528466E-3</v>
      </c>
      <c r="AW78" s="15">
        <v>-1.223990897153817E-2</v>
      </c>
      <c r="AY78" s="7" t="s">
        <v>66</v>
      </c>
      <c r="AZ78" s="15">
        <v>0.1043930089749646</v>
      </c>
      <c r="BA78" s="15">
        <v>-1.073499102503539E-2</v>
      </c>
      <c r="BB78" s="15">
        <v>-3.3632504738742075E-2</v>
      </c>
    </row>
    <row r="79" spans="1:54" x14ac:dyDescent="0.2">
      <c r="A79" s="1" t="s">
        <v>75</v>
      </c>
      <c r="B79" s="15">
        <v>0.12330603127326881</v>
      </c>
      <c r="C79" s="15">
        <v>0.12152247019260171</v>
      </c>
      <c r="D79" s="15">
        <v>9.0909090909090912E-2</v>
      </c>
      <c r="E79" s="15">
        <v>1.9801980198019799E-2</v>
      </c>
      <c r="F79" s="15">
        <v>5.7034220532319387E-2</v>
      </c>
      <c r="G79" s="15">
        <v>0.1095890410958904</v>
      </c>
      <c r="H79" s="15">
        <v>0.10631500000000001</v>
      </c>
      <c r="J79" s="1" t="s">
        <v>75</v>
      </c>
      <c r="K79" s="11">
        <f t="shared" si="7"/>
        <v>1.69910312732688E-2</v>
      </c>
      <c r="L79" s="11">
        <f t="shared" si="8"/>
        <v>1.5207470192601699E-2</v>
      </c>
      <c r="M79" s="11">
        <f t="shared" si="9"/>
        <v>-1.5405909090909095E-2</v>
      </c>
      <c r="N79" s="11">
        <f t="shared" si="10"/>
        <v>-8.6513019801980201E-2</v>
      </c>
      <c r="O79" s="11">
        <f t="shared" si="11"/>
        <v>-4.928077946768062E-2</v>
      </c>
      <c r="P79" s="11">
        <f t="shared" si="12"/>
        <v>3.2740410958903982E-3</v>
      </c>
      <c r="U79" s="3">
        <v>76</v>
      </c>
      <c r="V79" s="4" t="s">
        <v>75</v>
      </c>
      <c r="W79" s="5">
        <v>0.10631500000000001</v>
      </c>
      <c r="X79" s="5">
        <v>0.30824800000000002</v>
      </c>
      <c r="Z79" s="7" t="s">
        <v>78</v>
      </c>
      <c r="AA79" s="15">
        <v>0.14504839910647799</v>
      </c>
      <c r="AB79" s="15">
        <v>-1.0342600893522014E-2</v>
      </c>
      <c r="AC79" s="15">
        <v>-2.8548166071893515E-2</v>
      </c>
      <c r="AE79" s="7" t="s">
        <v>67</v>
      </c>
      <c r="AF79" s="15">
        <v>0.11556099052277589</v>
      </c>
      <c r="AG79" s="15">
        <v>-4.2250094772241092E-3</v>
      </c>
      <c r="AH79" s="15">
        <v>-1.3011278912610932E-2</v>
      </c>
      <c r="AJ79" s="7" t="s">
        <v>71</v>
      </c>
      <c r="AK79" s="15">
        <v>0.94755244755244761</v>
      </c>
      <c r="AL79" s="15">
        <v>-4.0979552447552359E-2</v>
      </c>
      <c r="AM79" s="15">
        <v>-5.0516203387941508E-2</v>
      </c>
      <c r="AO79" s="7" t="s">
        <v>4</v>
      </c>
      <c r="AP79" s="15">
        <v>0.11881188118811881</v>
      </c>
      <c r="AQ79" s="15">
        <v>-4.0084118811881203E-2</v>
      </c>
      <c r="AR79" s="15">
        <v>-0.10964257352349552</v>
      </c>
      <c r="AT79" s="7" t="s">
        <v>16</v>
      </c>
      <c r="AU79" s="15">
        <v>0.1081273764258555</v>
      </c>
      <c r="AV79" s="15">
        <v>-4.1466235741444979E-3</v>
      </c>
      <c r="AW79" s="15">
        <v>-1.3134238509727243E-2</v>
      </c>
      <c r="AY79" s="7" t="s">
        <v>10</v>
      </c>
      <c r="AZ79" s="15">
        <v>0.45063769485120447</v>
      </c>
      <c r="BA79" s="15">
        <v>-1.7938305148795519E-2</v>
      </c>
      <c r="BB79" s="15">
        <v>-3.5946778409045491E-2</v>
      </c>
    </row>
    <row r="80" spans="1:54" x14ac:dyDescent="0.2">
      <c r="A80" s="1" t="s">
        <v>76</v>
      </c>
      <c r="B80" s="15">
        <v>6.5227103499627695E-2</v>
      </c>
      <c r="C80" s="15">
        <v>8.9880770406603486E-2</v>
      </c>
      <c r="D80" s="15">
        <v>6.9930069930069935E-2</v>
      </c>
      <c r="E80" s="15">
        <v>0.1386138613861386</v>
      </c>
      <c r="F80" s="15">
        <v>0</v>
      </c>
      <c r="G80" s="15">
        <v>6.471421823334908E-2</v>
      </c>
      <c r="H80" s="15">
        <v>5.9943000000000003E-2</v>
      </c>
      <c r="J80" s="1" t="s">
        <v>76</v>
      </c>
      <c r="K80" s="11">
        <f t="shared" si="7"/>
        <v>5.2841034996276917E-3</v>
      </c>
      <c r="L80" s="11">
        <f t="shared" si="8"/>
        <v>2.9937770406603482E-2</v>
      </c>
      <c r="M80" s="11">
        <f t="shared" si="9"/>
        <v>9.987069930069932E-3</v>
      </c>
      <c r="N80" s="11">
        <f t="shared" si="10"/>
        <v>7.8670861386138602E-2</v>
      </c>
      <c r="O80" s="11">
        <f t="shared" si="11"/>
        <v>-5.9943000000000003E-2</v>
      </c>
      <c r="P80" s="11">
        <f t="shared" si="12"/>
        <v>4.7712182333490769E-3</v>
      </c>
      <c r="U80" s="3">
        <v>77</v>
      </c>
      <c r="V80" s="4" t="s">
        <v>76</v>
      </c>
      <c r="W80" s="5">
        <v>5.9943000000000003E-2</v>
      </c>
      <c r="X80" s="5">
        <v>0.23738699999999999</v>
      </c>
      <c r="Z80" s="7" t="s">
        <v>83</v>
      </c>
      <c r="AA80" s="15">
        <v>6.9992553983618767E-3</v>
      </c>
      <c r="AB80" s="15">
        <v>-3.0667446016381236E-3</v>
      </c>
      <c r="AC80" s="15">
        <v>-3.072151588433767E-2</v>
      </c>
      <c r="AE80" s="7" t="s">
        <v>82</v>
      </c>
      <c r="AF80" s="15">
        <v>2.4457352491592779E-3</v>
      </c>
      <c r="AG80" s="15">
        <v>-7.5926475084072201E-4</v>
      </c>
      <c r="AH80" s="15">
        <v>-1.3432845936003433E-2</v>
      </c>
      <c r="AJ80" s="7" t="s">
        <v>110</v>
      </c>
      <c r="AK80" s="15">
        <v>0</v>
      </c>
      <c r="AL80" s="15">
        <v>-3.2049999999999999E-3</v>
      </c>
      <c r="AM80" s="15">
        <v>-5.670258125011058E-2</v>
      </c>
      <c r="AO80" s="7" t="s">
        <v>8</v>
      </c>
      <c r="AP80" s="15">
        <v>0</v>
      </c>
      <c r="AQ80" s="15">
        <v>-1.2519000000000001E-2</v>
      </c>
      <c r="AR80" s="15">
        <v>-0.11259106034715353</v>
      </c>
      <c r="AT80" s="7" t="s">
        <v>31</v>
      </c>
      <c r="AU80" s="15">
        <v>0.11596958174904939</v>
      </c>
      <c r="AV80" s="15">
        <v>-4.3674182509506054E-3</v>
      </c>
      <c r="AW80" s="15">
        <v>-1.3423217301754057E-2</v>
      </c>
      <c r="AY80" s="7" t="s">
        <v>72</v>
      </c>
      <c r="AZ80" s="15">
        <v>3.060935285781766</v>
      </c>
      <c r="BA80" s="15">
        <v>-6.4208714218234153E-2</v>
      </c>
      <c r="BB80" s="15">
        <v>-3.7470792923903269E-2</v>
      </c>
    </row>
    <row r="81" spans="1:54" x14ac:dyDescent="0.2">
      <c r="A81" s="1" t="s">
        <v>77</v>
      </c>
      <c r="B81" s="15">
        <v>0.12792256142963521</v>
      </c>
      <c r="C81" s="15">
        <v>0.1436869458881076</v>
      </c>
      <c r="D81" s="15">
        <v>0.1223776223776224</v>
      </c>
      <c r="E81" s="15">
        <v>6.9306930693069313E-2</v>
      </c>
      <c r="F81" s="15">
        <v>2.3764258555133078E-2</v>
      </c>
      <c r="G81" s="15">
        <v>8.1247047709022205E-2</v>
      </c>
      <c r="H81" s="15">
        <v>0.10581400000000001</v>
      </c>
      <c r="J81" s="1" t="s">
        <v>77</v>
      </c>
      <c r="K81" s="11">
        <f t="shared" si="7"/>
        <v>2.2108561429635201E-2</v>
      </c>
      <c r="L81" s="11">
        <f t="shared" si="8"/>
        <v>3.7872945888107593E-2</v>
      </c>
      <c r="M81" s="11">
        <f t="shared" si="9"/>
        <v>1.6563622377622392E-2</v>
      </c>
      <c r="N81" s="11">
        <f t="shared" si="10"/>
        <v>-3.6507069306930692E-2</v>
      </c>
      <c r="O81" s="11">
        <f t="shared" si="11"/>
        <v>-8.204974144486693E-2</v>
      </c>
      <c r="P81" s="11">
        <f t="shared" si="12"/>
        <v>-2.45669522909778E-2</v>
      </c>
      <c r="U81" s="3">
        <v>78</v>
      </c>
      <c r="V81" s="4" t="s">
        <v>77</v>
      </c>
      <c r="W81" s="5">
        <v>0.10581400000000001</v>
      </c>
      <c r="X81" s="5">
        <v>0.30760700000000002</v>
      </c>
      <c r="Z81" s="7" t="s">
        <v>107</v>
      </c>
      <c r="AA81" s="15">
        <v>0.42204020848845869</v>
      </c>
      <c r="AB81" s="15">
        <v>-1.5788791511541334E-2</v>
      </c>
      <c r="AC81" s="15">
        <v>-3.1823771721117229E-2</v>
      </c>
      <c r="AE81" s="7" t="s">
        <v>6</v>
      </c>
      <c r="AF81" s="15">
        <v>0.1615713848975848</v>
      </c>
      <c r="AG81" s="15">
        <v>-5.3376151024152052E-3</v>
      </c>
      <c r="AH81" s="15">
        <v>-1.4313644000641465E-2</v>
      </c>
      <c r="AJ81" s="7" t="s">
        <v>78</v>
      </c>
      <c r="AK81" s="15">
        <v>0.13286713286713289</v>
      </c>
      <c r="AL81" s="15">
        <v>-2.2523867132867109E-2</v>
      </c>
      <c r="AM81" s="15">
        <v>-6.2171508512244775E-2</v>
      </c>
      <c r="AO81" s="7" t="s">
        <v>74</v>
      </c>
      <c r="AP81" s="15">
        <v>0.11881188118811881</v>
      </c>
      <c r="AQ81" s="15">
        <v>-4.1436118811881195E-2</v>
      </c>
      <c r="AR81" s="15">
        <v>-0.11295266069288445</v>
      </c>
      <c r="AT81" s="7" t="s">
        <v>27</v>
      </c>
      <c r="AU81" s="15">
        <v>8.6026615969581749E-2</v>
      </c>
      <c r="AV81" s="15">
        <v>-3.8623840304182477E-3</v>
      </c>
      <c r="AW81" s="15">
        <v>-1.3503422824243078E-2</v>
      </c>
      <c r="AY81" s="7" t="s">
        <v>84</v>
      </c>
      <c r="AZ81" s="15">
        <v>3.1648559282002837E-2</v>
      </c>
      <c r="BA81" s="15">
        <v>-7.7624407179971641E-3</v>
      </c>
      <c r="BB81" s="15">
        <v>-3.9894132462365166E-2</v>
      </c>
    </row>
    <row r="82" spans="1:54" x14ac:dyDescent="0.2">
      <c r="A82" s="1" t="s">
        <v>78</v>
      </c>
      <c r="B82" s="15">
        <v>0.14504839910647799</v>
      </c>
      <c r="C82" s="15">
        <v>6.0684805869764602E-2</v>
      </c>
      <c r="D82" s="15">
        <v>0.13286713286713289</v>
      </c>
      <c r="E82" s="15">
        <v>8.9108910891089105E-2</v>
      </c>
      <c r="F82" s="15">
        <v>0.32129277566539932</v>
      </c>
      <c r="G82" s="15">
        <v>0.1572980632971186</v>
      </c>
      <c r="H82" s="15">
        <v>0.155391</v>
      </c>
      <c r="J82" s="1" t="s">
        <v>78</v>
      </c>
      <c r="K82" s="11">
        <f t="shared" si="7"/>
        <v>-1.0342600893522014E-2</v>
      </c>
      <c r="L82" s="11">
        <f t="shared" si="8"/>
        <v>-9.4706194130235399E-2</v>
      </c>
      <c r="M82" s="11">
        <f t="shared" si="9"/>
        <v>-2.2523867132867109E-2</v>
      </c>
      <c r="N82" s="11">
        <f t="shared" si="10"/>
        <v>-6.6282089108910897E-2</v>
      </c>
      <c r="O82" s="11">
        <f t="shared" si="11"/>
        <v>0.16590177566539932</v>
      </c>
      <c r="P82" s="11">
        <f t="shared" si="12"/>
        <v>1.9070632971185941E-3</v>
      </c>
      <c r="U82" s="3">
        <v>79</v>
      </c>
      <c r="V82" s="4" t="s">
        <v>78</v>
      </c>
      <c r="W82" s="5">
        <v>0.155391</v>
      </c>
      <c r="X82" s="5">
        <v>0.362286</v>
      </c>
      <c r="Z82" s="7" t="s">
        <v>92</v>
      </c>
      <c r="AA82" s="15">
        <v>9.0841399851079672E-3</v>
      </c>
      <c r="AB82" s="15">
        <v>-3.8858600148920334E-3</v>
      </c>
      <c r="AC82" s="15">
        <v>-3.4343161301057322E-2</v>
      </c>
      <c r="AE82" s="7" t="s">
        <v>17</v>
      </c>
      <c r="AF82" s="15">
        <v>0.11143381228981961</v>
      </c>
      <c r="AG82" s="15">
        <v>-4.5961877101803883E-3</v>
      </c>
      <c r="AH82" s="15">
        <v>-1.435102276580121E-2</v>
      </c>
      <c r="AJ82" s="7" t="s">
        <v>47</v>
      </c>
      <c r="AK82" s="15">
        <v>5.5944055944055937E-2</v>
      </c>
      <c r="AL82" s="15">
        <v>-1.6367944055944064E-2</v>
      </c>
      <c r="AM82" s="15">
        <v>-6.3194255264059543E-2</v>
      </c>
      <c r="AO82" s="7" t="s">
        <v>17</v>
      </c>
      <c r="AP82" s="15">
        <v>7.9207920792079209E-2</v>
      </c>
      <c r="AQ82" s="15">
        <v>-3.6822079207920785E-2</v>
      </c>
      <c r="AR82" s="15">
        <v>-0.11497234889396346</v>
      </c>
      <c r="AT82" s="7" t="s">
        <v>111</v>
      </c>
      <c r="AU82" s="15">
        <v>0</v>
      </c>
      <c r="AV82" s="15">
        <v>-3.5100000000000002E-4</v>
      </c>
      <c r="AW82" s="15">
        <v>-1.8749999999999999E-2</v>
      </c>
      <c r="AY82" s="7" t="s">
        <v>32</v>
      </c>
      <c r="AZ82" s="15">
        <v>0.1043930089749646</v>
      </c>
      <c r="BA82" s="15">
        <v>-1.4140991025035396E-2</v>
      </c>
      <c r="BB82" s="15">
        <v>-4.3746704609897061E-2</v>
      </c>
    </row>
    <row r="83" spans="1:54" x14ac:dyDescent="0.2">
      <c r="A83" s="1" t="s">
        <v>79</v>
      </c>
      <c r="B83" s="15">
        <v>1.6976917349218169E-2</v>
      </c>
      <c r="C83" s="15">
        <v>2.2317334148578422E-2</v>
      </c>
      <c r="D83" s="15">
        <v>1.3986013986013989E-2</v>
      </c>
      <c r="E83" s="15">
        <v>4.9504950495049507E-2</v>
      </c>
      <c r="F83" s="15">
        <v>2.3764258555133079E-3</v>
      </c>
      <c r="G83" s="15">
        <v>1.417099669343411E-2</v>
      </c>
      <c r="H83" s="15">
        <v>1.5474E-2</v>
      </c>
      <c r="J83" s="1" t="s">
        <v>79</v>
      </c>
      <c r="K83" s="11">
        <f t="shared" si="7"/>
        <v>1.5029173492181695E-3</v>
      </c>
      <c r="L83" s="11">
        <f t="shared" si="8"/>
        <v>6.8433341485784217E-3</v>
      </c>
      <c r="M83" s="11">
        <f t="shared" si="9"/>
        <v>-1.4879860139860104E-3</v>
      </c>
      <c r="N83" s="11">
        <f t="shared" si="10"/>
        <v>3.4030950495049506E-2</v>
      </c>
      <c r="O83" s="11">
        <f t="shared" si="11"/>
        <v>-1.3097574144486692E-2</v>
      </c>
      <c r="P83" s="11">
        <f t="shared" si="12"/>
        <v>-1.3030033065658895E-3</v>
      </c>
      <c r="U83" s="3">
        <v>80</v>
      </c>
      <c r="V83" s="4" t="s">
        <v>79</v>
      </c>
      <c r="W83" s="5">
        <v>1.5474E-2</v>
      </c>
      <c r="X83" s="5">
        <v>0.123431</v>
      </c>
      <c r="Z83" s="7" t="s">
        <v>49</v>
      </c>
      <c r="AA83" s="15">
        <v>0.33968726731198812</v>
      </c>
      <c r="AB83" s="15">
        <v>-1.7866732688011866E-2</v>
      </c>
      <c r="AC83" s="15">
        <v>-3.7277343848868466E-2</v>
      </c>
      <c r="AE83" s="7" t="s">
        <v>32</v>
      </c>
      <c r="AF83" s="15">
        <v>0.1132681137266891</v>
      </c>
      <c r="AG83" s="15">
        <v>-5.2658862733108991E-3</v>
      </c>
      <c r="AH83" s="15">
        <v>-1.6290595963182639E-2</v>
      </c>
      <c r="AJ83" s="7" t="s">
        <v>73</v>
      </c>
      <c r="AK83" s="15">
        <v>0.1713286713286713</v>
      </c>
      <c r="AL83" s="15">
        <v>-2.512632867132869E-2</v>
      </c>
      <c r="AM83" s="15">
        <v>-6.3238571528993037E-2</v>
      </c>
      <c r="AO83" s="7" t="s">
        <v>77</v>
      </c>
      <c r="AP83" s="15">
        <v>6.9306930693069313E-2</v>
      </c>
      <c r="AQ83" s="15">
        <v>-3.6507069306930692E-2</v>
      </c>
      <c r="AR83" s="15">
        <v>-0.11868087952137205</v>
      </c>
      <c r="AT83" s="7" t="s">
        <v>64</v>
      </c>
      <c r="AU83" s="15">
        <v>0.1007604562737643</v>
      </c>
      <c r="AV83" s="15">
        <v>-6.6555437262356965E-3</v>
      </c>
      <c r="AW83" s="15">
        <v>-2.1493763042905529E-2</v>
      </c>
      <c r="AY83" s="7" t="s">
        <v>74</v>
      </c>
      <c r="AZ83" s="15">
        <v>0.14359943316013229</v>
      </c>
      <c r="BA83" s="15">
        <v>-1.6648566839867707E-2</v>
      </c>
      <c r="BB83" s="15">
        <v>-4.5383109596335527E-2</v>
      </c>
    </row>
    <row r="84" spans="1:54" x14ac:dyDescent="0.2">
      <c r="A84" s="1" t="s">
        <v>80</v>
      </c>
      <c r="B84" s="15">
        <v>3.1720029784065518E-2</v>
      </c>
      <c r="C84" s="15">
        <v>2.5068786303882609E-2</v>
      </c>
      <c r="D84" s="15">
        <v>5.944055944055944E-2</v>
      </c>
      <c r="E84" s="15">
        <v>9.9009900990099011E-3</v>
      </c>
      <c r="F84" s="15">
        <v>5.7747148288973392E-2</v>
      </c>
      <c r="G84" s="15">
        <v>3.2593292394898443E-2</v>
      </c>
      <c r="H84" s="15">
        <v>3.5404999999999999E-2</v>
      </c>
      <c r="J84" s="1" t="s">
        <v>80</v>
      </c>
      <c r="K84" s="11">
        <f t="shared" si="7"/>
        <v>-3.6849702159344813E-3</v>
      </c>
      <c r="L84" s="11">
        <f t="shared" si="8"/>
        <v>-1.033621369611739E-2</v>
      </c>
      <c r="M84" s="11">
        <f t="shared" si="9"/>
        <v>2.4035559440559441E-2</v>
      </c>
      <c r="N84" s="11">
        <f t="shared" si="10"/>
        <v>-2.5504009900990096E-2</v>
      </c>
      <c r="O84" s="11">
        <f t="shared" si="11"/>
        <v>2.2342148288973393E-2</v>
      </c>
      <c r="P84" s="11">
        <f t="shared" si="12"/>
        <v>-2.8117076051015558E-3</v>
      </c>
      <c r="U84" s="3">
        <v>81</v>
      </c>
      <c r="V84" s="4" t="s">
        <v>80</v>
      </c>
      <c r="W84" s="5">
        <v>3.5404999999999999E-2</v>
      </c>
      <c r="X84" s="5">
        <v>0.184806</v>
      </c>
      <c r="Z84" s="7" t="s">
        <v>27</v>
      </c>
      <c r="AA84" s="15">
        <v>7.7289650037230082E-2</v>
      </c>
      <c r="AB84" s="15">
        <v>-1.2599349962769915E-2</v>
      </c>
      <c r="AC84" s="15">
        <v>-4.4049050668705785E-2</v>
      </c>
      <c r="AE84" s="7" t="s">
        <v>68</v>
      </c>
      <c r="AF84" s="15">
        <v>0.11143381228981961</v>
      </c>
      <c r="AG84" s="15">
        <v>-5.247187710180401E-3</v>
      </c>
      <c r="AH84" s="15">
        <v>-1.6343935206512426E-2</v>
      </c>
      <c r="AJ84" s="7" t="s">
        <v>57</v>
      </c>
      <c r="AK84" s="15">
        <v>0.48601398601398599</v>
      </c>
      <c r="AL84" s="15">
        <v>-3.1889013986014014E-2</v>
      </c>
      <c r="AM84" s="15">
        <v>-6.3817339453131158E-2</v>
      </c>
      <c r="AO84" s="7" t="s">
        <v>15</v>
      </c>
      <c r="AP84" s="15">
        <v>0.32673267326732669</v>
      </c>
      <c r="AQ84" s="15">
        <v>-5.7913326732673298E-2</v>
      </c>
      <c r="AR84" s="15">
        <v>-0.11903488159406997</v>
      </c>
      <c r="AT84" s="7" t="s">
        <v>65</v>
      </c>
      <c r="AU84" s="15">
        <v>0.10289923954372621</v>
      </c>
      <c r="AV84" s="15">
        <v>-6.7207604562737888E-3</v>
      </c>
      <c r="AW84" s="15">
        <v>-2.1511733951321728E-2</v>
      </c>
      <c r="AY84" s="7" t="s">
        <v>89</v>
      </c>
      <c r="AZ84" s="15">
        <v>2.361832782239017E-3</v>
      </c>
      <c r="BA84" s="15">
        <v>-3.5471672177609832E-3</v>
      </c>
      <c r="BB84" s="15">
        <v>-4.6279873936813182E-2</v>
      </c>
    </row>
    <row r="85" spans="1:54" x14ac:dyDescent="0.2">
      <c r="A85" s="1" t="s">
        <v>81</v>
      </c>
      <c r="B85" s="15">
        <v>7.1183916604616523E-2</v>
      </c>
      <c r="C85" s="15">
        <v>4.585753592173647E-4</v>
      </c>
      <c r="D85" s="15">
        <v>0.1083916083916084</v>
      </c>
      <c r="E85" s="15">
        <v>6.9306930693069313E-2</v>
      </c>
      <c r="F85" s="15">
        <v>0.35004752851711018</v>
      </c>
      <c r="G85" s="15">
        <v>0.11809163911195091</v>
      </c>
      <c r="H85" s="15">
        <v>0.112274</v>
      </c>
      <c r="J85" s="1" t="s">
        <v>81</v>
      </c>
      <c r="K85" s="11">
        <f t="shared" si="7"/>
        <v>-4.1090083395383475E-2</v>
      </c>
      <c r="L85" s="11">
        <f t="shared" si="8"/>
        <v>-0.11181542464078263</v>
      </c>
      <c r="M85" s="11">
        <f t="shared" si="9"/>
        <v>-3.8823916083915999E-3</v>
      </c>
      <c r="N85" s="11">
        <f t="shared" si="10"/>
        <v>-4.2967069306930686E-2</v>
      </c>
      <c r="O85" s="11">
        <f t="shared" si="11"/>
        <v>0.2377735285171102</v>
      </c>
      <c r="P85" s="11">
        <f t="shared" si="12"/>
        <v>5.8176391119509063E-3</v>
      </c>
      <c r="U85" s="3">
        <v>82</v>
      </c>
      <c r="V85" s="4" t="s">
        <v>81</v>
      </c>
      <c r="W85" s="5">
        <v>0.112274</v>
      </c>
      <c r="X85" s="5">
        <v>0.31571100000000002</v>
      </c>
      <c r="Z85" s="7" t="s">
        <v>24</v>
      </c>
      <c r="AA85" s="15">
        <v>2.5167535368577808E-2</v>
      </c>
      <c r="AB85" s="15">
        <v>-7.93346463142219E-3</v>
      </c>
      <c r="AC85" s="15">
        <v>-4.4344318420970731E-2</v>
      </c>
      <c r="AE85" s="7" t="s">
        <v>111</v>
      </c>
      <c r="AF85" s="15">
        <v>0</v>
      </c>
      <c r="AG85" s="15">
        <v>-3.5100000000000002E-4</v>
      </c>
      <c r="AH85" s="15">
        <v>-1.8749999999999999E-2</v>
      </c>
      <c r="AJ85" s="7" t="s">
        <v>36</v>
      </c>
      <c r="AK85" s="15">
        <v>9.0909090909090912E-2</v>
      </c>
      <c r="AL85" s="15">
        <v>-2.0913909090909094E-2</v>
      </c>
      <c r="AM85" s="15">
        <v>-6.6360287383459962E-2</v>
      </c>
      <c r="AO85" s="7" t="s">
        <v>46</v>
      </c>
      <c r="AP85" s="15">
        <v>8.9108910891089105E-2</v>
      </c>
      <c r="AQ85" s="15">
        <v>-4.4698089108910904E-2</v>
      </c>
      <c r="AR85" s="15">
        <v>-0.13128965765980399</v>
      </c>
      <c r="AT85" s="7" t="s">
        <v>24</v>
      </c>
      <c r="AU85" s="15">
        <v>2.875475285171103E-2</v>
      </c>
      <c r="AV85" s="15">
        <v>-4.3462471482889689E-3</v>
      </c>
      <c r="AW85" s="15">
        <v>-2.4293467789168438E-2</v>
      </c>
      <c r="AY85" s="7" t="s">
        <v>101</v>
      </c>
      <c r="AZ85" s="15">
        <v>2.8341993386868211E-3</v>
      </c>
      <c r="BA85" s="15">
        <v>-4.0268006613131783E-3</v>
      </c>
      <c r="BB85" s="15">
        <v>-4.8782505043408267E-2</v>
      </c>
    </row>
    <row r="86" spans="1:54" x14ac:dyDescent="0.2">
      <c r="A86" s="1" t="s">
        <v>82</v>
      </c>
      <c r="B86" s="15">
        <v>1.9359642591213701E-3</v>
      </c>
      <c r="C86" s="15">
        <v>2.4457352491592779E-3</v>
      </c>
      <c r="D86" s="15">
        <v>6.993006993006993E-3</v>
      </c>
      <c r="E86" s="15">
        <v>3.9603960396039598E-2</v>
      </c>
      <c r="F86" s="15">
        <v>5.7034220532319393E-3</v>
      </c>
      <c r="G86" s="15">
        <v>2.361832782239017E-3</v>
      </c>
      <c r="H86" s="15">
        <v>3.2049999999999999E-3</v>
      </c>
      <c r="J86" s="1" t="s">
        <v>82</v>
      </c>
      <c r="K86" s="11">
        <f t="shared" si="7"/>
        <v>-1.2690357408786299E-3</v>
      </c>
      <c r="L86" s="11">
        <f t="shared" si="8"/>
        <v>-7.5926475084072201E-4</v>
      </c>
      <c r="M86" s="11">
        <f t="shared" si="9"/>
        <v>3.7880069930069931E-3</v>
      </c>
      <c r="N86" s="11">
        <f t="shared" si="10"/>
        <v>3.6398960396039598E-2</v>
      </c>
      <c r="O86" s="11">
        <f t="shared" si="11"/>
        <v>2.4984220532319394E-3</v>
      </c>
      <c r="P86" s="11">
        <f t="shared" si="12"/>
        <v>-8.4316721776098299E-4</v>
      </c>
      <c r="U86" s="3">
        <v>83</v>
      </c>
      <c r="V86" s="4" t="s">
        <v>82</v>
      </c>
      <c r="W86" s="5">
        <v>3.2049999999999999E-3</v>
      </c>
      <c r="X86" s="5">
        <v>5.6522999999999997E-2</v>
      </c>
      <c r="Z86" s="7" t="s">
        <v>97</v>
      </c>
      <c r="AA86" s="15">
        <v>8.8756515264333577E-2</v>
      </c>
      <c r="AB86" s="15">
        <v>-1.4303484735666422E-2</v>
      </c>
      <c r="AC86" s="15">
        <v>-4.7043972884495459E-2</v>
      </c>
      <c r="AE86" s="7" t="s">
        <v>29</v>
      </c>
      <c r="AF86" s="15">
        <v>0.33934576582084991</v>
      </c>
      <c r="AG86" s="15">
        <v>-8.944234179150079E-3</v>
      </c>
      <c r="AH86" s="15">
        <v>-1.8773054695554698E-2</v>
      </c>
      <c r="AJ86" s="7" t="s">
        <v>108</v>
      </c>
      <c r="AK86" s="15">
        <v>4.8951048951048952E-2</v>
      </c>
      <c r="AL86" s="15">
        <v>-1.7351951048951049E-2</v>
      </c>
      <c r="AM86" s="15">
        <v>-6.9737803481880453E-2</v>
      </c>
      <c r="AO86" s="7" t="s">
        <v>11</v>
      </c>
      <c r="AP86" s="15">
        <v>6.9306930693069313E-2</v>
      </c>
      <c r="AQ86" s="15">
        <v>-4.1765069306930691E-2</v>
      </c>
      <c r="AR86" s="15">
        <v>-0.13291284161210676</v>
      </c>
      <c r="AT86" s="7" t="s">
        <v>1</v>
      </c>
      <c r="AU86" s="15">
        <v>0.14139733840304181</v>
      </c>
      <c r="AV86" s="15">
        <v>-8.8356615969581997E-3</v>
      </c>
      <c r="AW86" s="15">
        <v>-2.4728418050976187E-2</v>
      </c>
      <c r="AY86" s="7" t="s">
        <v>22</v>
      </c>
      <c r="AZ86" s="15">
        <v>0.1010864430798299</v>
      </c>
      <c r="BA86" s="15">
        <v>-1.59945569201701E-2</v>
      </c>
      <c r="BB86" s="15">
        <v>-4.9745919975647618E-2</v>
      </c>
    </row>
    <row r="87" spans="1:54" x14ac:dyDescent="0.2">
      <c r="A87" s="1" t="s">
        <v>83</v>
      </c>
      <c r="B87" s="15">
        <v>6.9992553983618767E-3</v>
      </c>
      <c r="C87" s="15">
        <v>0</v>
      </c>
      <c r="D87" s="15">
        <v>2.097902097902098E-2</v>
      </c>
      <c r="E87" s="15">
        <v>0</v>
      </c>
      <c r="F87" s="15">
        <v>2.9467680608365021E-2</v>
      </c>
      <c r="G87" s="15">
        <v>1.1336797354747279E-2</v>
      </c>
      <c r="H87" s="15">
        <v>1.0066E-2</v>
      </c>
      <c r="J87" s="1" t="s">
        <v>83</v>
      </c>
      <c r="K87" s="11">
        <f t="shared" si="7"/>
        <v>-3.0667446016381236E-3</v>
      </c>
      <c r="L87" s="11">
        <f t="shared" si="8"/>
        <v>-1.0066E-2</v>
      </c>
      <c r="M87" s="11">
        <f t="shared" si="9"/>
        <v>1.091302097902098E-2</v>
      </c>
      <c r="N87" s="11">
        <f t="shared" si="10"/>
        <v>-1.0066E-2</v>
      </c>
      <c r="O87" s="11">
        <f t="shared" si="11"/>
        <v>1.9401680608365023E-2</v>
      </c>
      <c r="P87" s="11">
        <f t="shared" si="12"/>
        <v>1.270797354747279E-3</v>
      </c>
      <c r="U87" s="3">
        <v>84</v>
      </c>
      <c r="V87" s="4" t="s">
        <v>83</v>
      </c>
      <c r="W87" s="5">
        <v>1.0066E-2</v>
      </c>
      <c r="X87" s="5">
        <v>9.9823999999999996E-2</v>
      </c>
      <c r="Z87" s="7" t="s">
        <v>68</v>
      </c>
      <c r="AA87" s="15">
        <v>0.1005212211466865</v>
      </c>
      <c r="AB87" s="15">
        <v>-1.6159778853313503E-2</v>
      </c>
      <c r="AC87" s="15">
        <v>-5.0334463548483414E-2</v>
      </c>
      <c r="AE87" s="7" t="s">
        <v>20</v>
      </c>
      <c r="AF87" s="15">
        <v>0.1112809538367472</v>
      </c>
      <c r="AG87" s="15">
        <v>-6.4510461632528021E-3</v>
      </c>
      <c r="AH87" s="15">
        <v>-2.0015718830194328E-2</v>
      </c>
      <c r="AJ87" s="7" t="s">
        <v>43</v>
      </c>
      <c r="AK87" s="15">
        <v>1.748251748251748E-2</v>
      </c>
      <c r="AL87" s="15">
        <v>-1.266448251748252E-2</v>
      </c>
      <c r="AM87" s="15">
        <v>-7.4063466870274097E-2</v>
      </c>
      <c r="AO87" s="7" t="s">
        <v>81</v>
      </c>
      <c r="AP87" s="15">
        <v>6.9306930693069313E-2</v>
      </c>
      <c r="AQ87" s="15">
        <v>-4.2967069306930686E-2</v>
      </c>
      <c r="AR87" s="15">
        <v>-0.13609620604581621</v>
      </c>
      <c r="AT87" s="7" t="s">
        <v>34</v>
      </c>
      <c r="AU87" s="15">
        <v>0.1105038022813688</v>
      </c>
      <c r="AV87" s="15">
        <v>-8.1301977186312019E-3</v>
      </c>
      <c r="AW87" s="15">
        <v>-2.5142478990092317E-2</v>
      </c>
      <c r="AY87" s="7" t="s">
        <v>20</v>
      </c>
      <c r="AZ87" s="15">
        <v>0.1010864430798299</v>
      </c>
      <c r="BA87" s="15">
        <v>-1.6645556920170099E-2</v>
      </c>
      <c r="BB87" s="15">
        <v>-5.1646318853518315E-2</v>
      </c>
    </row>
    <row r="88" spans="1:54" x14ac:dyDescent="0.2">
      <c r="A88" s="1" t="s">
        <v>84</v>
      </c>
      <c r="B88" s="15">
        <v>9.3819806403574093E-3</v>
      </c>
      <c r="C88" s="15">
        <v>0</v>
      </c>
      <c r="D88" s="15">
        <v>4.8951048951048952E-2</v>
      </c>
      <c r="E88" s="15">
        <v>9.9009900990099011E-3</v>
      </c>
      <c r="F88" s="15">
        <v>0.15256653992395439</v>
      </c>
      <c r="G88" s="15">
        <v>3.1648559282002837E-2</v>
      </c>
      <c r="H88" s="15">
        <v>3.9411000000000002E-2</v>
      </c>
      <c r="J88" s="1" t="s">
        <v>84</v>
      </c>
      <c r="K88" s="11">
        <f t="shared" si="7"/>
        <v>-3.0029019359642591E-2</v>
      </c>
      <c r="L88" s="11">
        <f t="shared" si="8"/>
        <v>-3.9411000000000002E-2</v>
      </c>
      <c r="M88" s="11">
        <f t="shared" si="9"/>
        <v>9.5400489510489503E-3</v>
      </c>
      <c r="N88" s="11">
        <f t="shared" si="10"/>
        <v>-2.9510009900990099E-2</v>
      </c>
      <c r="O88" s="11">
        <f t="shared" si="11"/>
        <v>0.11315553992395438</v>
      </c>
      <c r="P88" s="11">
        <f t="shared" si="12"/>
        <v>-7.7624407179971641E-3</v>
      </c>
      <c r="U88" s="3">
        <v>85</v>
      </c>
      <c r="V88" s="4" t="s">
        <v>84</v>
      </c>
      <c r="W88" s="5">
        <v>3.9411000000000002E-2</v>
      </c>
      <c r="X88" s="5">
        <v>0.194576</v>
      </c>
      <c r="Z88" s="7" t="s">
        <v>11</v>
      </c>
      <c r="AA88" s="15">
        <v>9.4862248696947135E-2</v>
      </c>
      <c r="AB88" s="15">
        <v>-1.6209751303052869E-2</v>
      </c>
      <c r="AC88" s="15">
        <v>-5.1585790309146735E-2</v>
      </c>
      <c r="AE88" s="7" t="s">
        <v>0</v>
      </c>
      <c r="AF88" s="15">
        <v>3.668602873738918E-3</v>
      </c>
      <c r="AG88" s="15">
        <v>-1.5893971262610817E-3</v>
      </c>
      <c r="AH88" s="15">
        <v>-2.1976067781940733E-2</v>
      </c>
      <c r="AJ88" s="7" t="s">
        <v>11</v>
      </c>
      <c r="AK88" s="15">
        <v>8.7412587412587409E-2</v>
      </c>
      <c r="AL88" s="15">
        <v>-2.3659412587412595E-2</v>
      </c>
      <c r="AM88" s="15">
        <v>-7.5293536202618458E-2</v>
      </c>
      <c r="AO88" s="7" t="s">
        <v>80</v>
      </c>
      <c r="AP88" s="15">
        <v>9.9009900990099011E-3</v>
      </c>
      <c r="AQ88" s="15">
        <v>-2.5504009900990096E-2</v>
      </c>
      <c r="AR88" s="15">
        <v>-0.1380042309285959</v>
      </c>
      <c r="AT88" s="7" t="s">
        <v>53</v>
      </c>
      <c r="AU88" s="15">
        <v>3.2319391634980987E-2</v>
      </c>
      <c r="AV88" s="15">
        <v>-5.038608365019015E-3</v>
      </c>
      <c r="AW88" s="15">
        <v>-2.6569053084332665E-2</v>
      </c>
      <c r="AY88" s="7" t="s">
        <v>14</v>
      </c>
      <c r="AZ88" s="15">
        <v>0.23901747756258859</v>
      </c>
      <c r="BA88" s="15">
        <v>-2.3138522437411407E-2</v>
      </c>
      <c r="BB88" s="15">
        <v>-5.2609312118675013E-2</v>
      </c>
    </row>
    <row r="89" spans="1:54" x14ac:dyDescent="0.2">
      <c r="A89" s="1" t="s">
        <v>85</v>
      </c>
      <c r="B89" s="15">
        <v>3.6187639612807153E-2</v>
      </c>
      <c r="C89" s="15">
        <v>3.5768878018954453E-2</v>
      </c>
      <c r="D89" s="15">
        <v>0</v>
      </c>
      <c r="E89" s="15">
        <v>9.9009900990099011E-3</v>
      </c>
      <c r="F89" s="15">
        <v>6.1074144486692017E-2</v>
      </c>
      <c r="G89" s="15">
        <v>3.4482758620689648E-2</v>
      </c>
      <c r="H89" s="15">
        <v>4.0462999999999999E-2</v>
      </c>
      <c r="J89" s="1" t="s">
        <v>85</v>
      </c>
      <c r="K89" s="11">
        <f t="shared" si="7"/>
        <v>-4.2753603871928461E-3</v>
      </c>
      <c r="L89" s="11">
        <f t="shared" si="8"/>
        <v>-4.6941219810455459E-3</v>
      </c>
      <c r="M89" s="11">
        <f t="shared" si="9"/>
        <v>-4.0462999999999999E-2</v>
      </c>
      <c r="N89" s="11">
        <f t="shared" si="10"/>
        <v>-3.0562009900990096E-2</v>
      </c>
      <c r="O89" s="11">
        <f t="shared" si="11"/>
        <v>2.0611144486692018E-2</v>
      </c>
      <c r="P89" s="11">
        <f t="shared" si="12"/>
        <v>-5.9802413793103512E-3</v>
      </c>
      <c r="U89" s="3">
        <v>86</v>
      </c>
      <c r="V89" s="4" t="s">
        <v>85</v>
      </c>
      <c r="W89" s="5">
        <v>4.0462999999999999E-2</v>
      </c>
      <c r="X89" s="5">
        <v>0.197047</v>
      </c>
      <c r="Z89" s="7" t="s">
        <v>91</v>
      </c>
      <c r="AA89" s="15">
        <v>0.11600893521965749</v>
      </c>
      <c r="AB89" s="15">
        <v>-1.8299064780342517E-2</v>
      </c>
      <c r="AC89" s="15">
        <v>-5.3664205554213931E-2</v>
      </c>
      <c r="AE89" s="7" t="s">
        <v>85</v>
      </c>
      <c r="AF89" s="15">
        <v>3.5768878018954453E-2</v>
      </c>
      <c r="AG89" s="15">
        <v>-4.6941219810455459E-3</v>
      </c>
      <c r="AH89" s="15">
        <v>-2.382234685656491E-2</v>
      </c>
      <c r="AJ89" s="7" t="s">
        <v>35</v>
      </c>
      <c r="AK89" s="15">
        <v>9.0909090909090912E-2</v>
      </c>
      <c r="AL89" s="15">
        <v>-2.4018909090909091E-2</v>
      </c>
      <c r="AM89" s="15">
        <v>-7.5307842125110422E-2</v>
      </c>
      <c r="AO89" s="7" t="s">
        <v>66</v>
      </c>
      <c r="AP89" s="15">
        <v>6.9306930693069313E-2</v>
      </c>
      <c r="AQ89" s="15">
        <v>-4.5821069306930681E-2</v>
      </c>
      <c r="AR89" s="15">
        <v>-0.14355646194818267</v>
      </c>
      <c r="AT89" s="7" t="s">
        <v>6</v>
      </c>
      <c r="AU89" s="15">
        <v>0.1549429657794677</v>
      </c>
      <c r="AV89" s="15">
        <v>-1.1966034220532301E-2</v>
      </c>
      <c r="AW89" s="15">
        <v>-3.2088779472819545E-2</v>
      </c>
      <c r="AY89" s="7" t="s">
        <v>28</v>
      </c>
      <c r="AZ89" s="15">
        <v>0.40481813887576762</v>
      </c>
      <c r="BA89" s="15">
        <v>-2.6149861124232399E-2</v>
      </c>
      <c r="BB89" s="15">
        <v>-5.2804107079286136E-2</v>
      </c>
    </row>
    <row r="90" spans="1:54" x14ac:dyDescent="0.2">
      <c r="A90" s="1" t="s">
        <v>86</v>
      </c>
      <c r="B90" s="15">
        <v>9.1437081161578559E-2</v>
      </c>
      <c r="C90" s="15">
        <v>0.13099969428309391</v>
      </c>
      <c r="D90" s="15">
        <v>0</v>
      </c>
      <c r="E90" s="15">
        <v>9.9009900990099011E-3</v>
      </c>
      <c r="F90" s="15">
        <v>0.1326045627376426</v>
      </c>
      <c r="G90" s="15">
        <v>0.11289560699102499</v>
      </c>
      <c r="H90" s="15">
        <v>0.113626</v>
      </c>
      <c r="J90" s="1" t="s">
        <v>86</v>
      </c>
      <c r="K90" s="11">
        <f t="shared" si="7"/>
        <v>-2.2188918838421445E-2</v>
      </c>
      <c r="L90" s="11">
        <f t="shared" si="8"/>
        <v>1.7373694283093905E-2</v>
      </c>
      <c r="M90" s="11">
        <f t="shared" si="9"/>
        <v>-0.113626</v>
      </c>
      <c r="N90" s="11">
        <f t="shared" si="10"/>
        <v>-0.10372500990099011</v>
      </c>
      <c r="O90" s="11">
        <f t="shared" si="11"/>
        <v>1.897856273764259E-2</v>
      </c>
      <c r="P90" s="11">
        <f t="shared" si="12"/>
        <v>-7.3039300897501103E-4</v>
      </c>
      <c r="U90" s="3">
        <v>87</v>
      </c>
      <c r="V90" s="4" t="s">
        <v>86</v>
      </c>
      <c r="W90" s="5">
        <v>0.113626</v>
      </c>
      <c r="X90" s="5">
        <v>0.31736500000000001</v>
      </c>
      <c r="Z90" s="7" t="s">
        <v>110</v>
      </c>
      <c r="AA90" s="15">
        <v>0</v>
      </c>
      <c r="AB90" s="15">
        <v>-3.2049999999999999E-3</v>
      </c>
      <c r="AC90" s="15">
        <v>-5.670258125011058E-2</v>
      </c>
      <c r="AE90" s="7" t="s">
        <v>46</v>
      </c>
      <c r="AF90" s="15">
        <v>0.1232039131763987</v>
      </c>
      <c r="AG90" s="15">
        <v>-1.060308682360131E-2</v>
      </c>
      <c r="AH90" s="15">
        <v>-3.114396313041207E-2</v>
      </c>
      <c r="AJ90" s="7" t="s">
        <v>51</v>
      </c>
      <c r="AK90" s="15">
        <v>0.15034965034965031</v>
      </c>
      <c r="AL90" s="15">
        <v>-2.9128349650349689E-2</v>
      </c>
      <c r="AM90" s="15">
        <v>-7.5902120716354646E-2</v>
      </c>
      <c r="AO90" s="7" t="s">
        <v>29</v>
      </c>
      <c r="AP90" s="15">
        <v>0.27722772277227731</v>
      </c>
      <c r="AQ90" s="15">
        <v>-7.1062277227722681E-2</v>
      </c>
      <c r="AR90" s="15">
        <v>-0.14915262620208775</v>
      </c>
      <c r="AT90" s="7" t="s">
        <v>88</v>
      </c>
      <c r="AU90" s="15">
        <v>0.33365019011406838</v>
      </c>
      <c r="AV90" s="15">
        <v>-2.2401809885931601E-2</v>
      </c>
      <c r="AW90" s="15">
        <v>-4.678320427766846E-2</v>
      </c>
      <c r="AY90" s="7" t="s">
        <v>29</v>
      </c>
      <c r="AZ90" s="15">
        <v>0.3216816249409542</v>
      </c>
      <c r="BA90" s="15">
        <v>-2.6608375059045786E-2</v>
      </c>
      <c r="BB90" s="15">
        <v>-5.5848323102690341E-2</v>
      </c>
    </row>
    <row r="91" spans="1:54" x14ac:dyDescent="0.2">
      <c r="A91" s="1" t="s">
        <v>87</v>
      </c>
      <c r="B91" s="15">
        <v>6.7609828741623232E-2</v>
      </c>
      <c r="C91" s="15">
        <v>5.9309079792112501E-2</v>
      </c>
      <c r="D91" s="15">
        <v>0</v>
      </c>
      <c r="E91" s="15">
        <v>1.9801980198019799E-2</v>
      </c>
      <c r="F91" s="15">
        <v>6.1787072243346008E-2</v>
      </c>
      <c r="G91" s="15">
        <v>5.4794520547945202E-2</v>
      </c>
      <c r="H91" s="15">
        <v>6.1094999999999997E-2</v>
      </c>
      <c r="J91" s="1" t="s">
        <v>87</v>
      </c>
      <c r="K91" s="11">
        <f t="shared" si="7"/>
        <v>6.5148287416232353E-3</v>
      </c>
      <c r="L91" s="11">
        <f t="shared" si="8"/>
        <v>-1.7859202078874953E-3</v>
      </c>
      <c r="M91" s="11">
        <f t="shared" si="9"/>
        <v>-6.1094999999999997E-2</v>
      </c>
      <c r="N91" s="11">
        <f t="shared" si="10"/>
        <v>-4.1293019801980198E-2</v>
      </c>
      <c r="O91" s="11">
        <f t="shared" si="11"/>
        <v>6.9207224334601192E-4</v>
      </c>
      <c r="P91" s="11">
        <f t="shared" si="12"/>
        <v>-6.3004794520547941E-3</v>
      </c>
      <c r="U91" s="3">
        <v>88</v>
      </c>
      <c r="V91" s="4" t="s">
        <v>87</v>
      </c>
      <c r="W91" s="5">
        <v>6.1094999999999997E-2</v>
      </c>
      <c r="X91" s="5">
        <v>0.23951</v>
      </c>
      <c r="Z91" s="7" t="s">
        <v>45</v>
      </c>
      <c r="AA91" s="15">
        <v>0.1073715562174237</v>
      </c>
      <c r="AB91" s="15">
        <v>-1.9374443782576301E-2</v>
      </c>
      <c r="AC91" s="15">
        <v>-5.8234501010157286E-2</v>
      </c>
      <c r="AE91" s="7" t="s">
        <v>52</v>
      </c>
      <c r="AF91" s="15">
        <v>6.4047691837358603E-2</v>
      </c>
      <c r="AG91" s="15">
        <v>-1.13193081626414E-2</v>
      </c>
      <c r="AH91" s="15">
        <v>-4.2877953864143586E-2</v>
      </c>
      <c r="AJ91" s="7" t="s">
        <v>30</v>
      </c>
      <c r="AK91" s="15">
        <v>0.1048951048951049</v>
      </c>
      <c r="AL91" s="15">
        <v>-2.5957895104895101E-2</v>
      </c>
      <c r="AM91" s="15">
        <v>-7.6969752540845621E-2</v>
      </c>
      <c r="AO91" s="7" t="s">
        <v>20</v>
      </c>
      <c r="AP91" s="15">
        <v>6.9306930693069313E-2</v>
      </c>
      <c r="AQ91" s="15">
        <v>-4.842506930693069E-2</v>
      </c>
      <c r="AR91" s="15">
        <v>-0.15024889716359868</v>
      </c>
      <c r="AT91" s="7" t="s">
        <v>46</v>
      </c>
      <c r="AU91" s="15">
        <v>0.11692015209125479</v>
      </c>
      <c r="AV91" s="15">
        <v>-1.6886847908745214E-2</v>
      </c>
      <c r="AW91" s="15">
        <v>-4.9600967851002528E-2</v>
      </c>
      <c r="AY91" s="7" t="s">
        <v>15</v>
      </c>
      <c r="AZ91" s="15">
        <v>0.35710911667453937</v>
      </c>
      <c r="BA91" s="15">
        <v>-2.7536883325460615E-2</v>
      </c>
      <c r="BB91" s="15">
        <v>-5.6599229072893865E-2</v>
      </c>
    </row>
    <row r="92" spans="1:54" x14ac:dyDescent="0.2">
      <c r="A92" s="1" t="s">
        <v>88</v>
      </c>
      <c r="B92" s="15">
        <v>0.3740878629932986</v>
      </c>
      <c r="C92" s="15">
        <v>0.35967594007948639</v>
      </c>
      <c r="D92" s="15">
        <v>0</v>
      </c>
      <c r="E92" s="15">
        <v>0.67326732673267331</v>
      </c>
      <c r="F92" s="15">
        <v>0.33365019011406838</v>
      </c>
      <c r="G92" s="15">
        <v>0.36513934813415211</v>
      </c>
      <c r="H92" s="15">
        <v>0.35605199999999998</v>
      </c>
      <c r="J92" s="1" t="s">
        <v>88</v>
      </c>
      <c r="K92" s="11">
        <f t="shared" si="7"/>
        <v>1.8035862993298624E-2</v>
      </c>
      <c r="L92" s="11">
        <f t="shared" si="8"/>
        <v>3.6239400794864096E-3</v>
      </c>
      <c r="M92" s="11">
        <f t="shared" si="9"/>
        <v>-0.35605199999999998</v>
      </c>
      <c r="N92" s="11">
        <f t="shared" si="10"/>
        <v>0.31721532673267333</v>
      </c>
      <c r="O92" s="11">
        <f t="shared" si="11"/>
        <v>-2.2401809885931601E-2</v>
      </c>
      <c r="P92" s="11">
        <f t="shared" si="12"/>
        <v>9.0873481341521289E-3</v>
      </c>
      <c r="U92" s="3">
        <v>89</v>
      </c>
      <c r="V92" s="4" t="s">
        <v>88</v>
      </c>
      <c r="W92" s="5">
        <v>0.35605199999999998</v>
      </c>
      <c r="X92" s="5">
        <v>0.47884300000000002</v>
      </c>
      <c r="Z92" s="7" t="s">
        <v>113</v>
      </c>
      <c r="AA92" s="15">
        <v>0</v>
      </c>
      <c r="AB92" s="15">
        <v>-7.7120000000000001E-3</v>
      </c>
      <c r="AC92" s="15">
        <v>-6.2833026446577261E-2</v>
      </c>
      <c r="AE92" s="7" t="s">
        <v>10</v>
      </c>
      <c r="AF92" s="15">
        <v>0.44680525833078572</v>
      </c>
      <c r="AG92" s="15">
        <v>-2.1770741669214277E-2</v>
      </c>
      <c r="AH92" s="15">
        <v>-4.3626642544675763E-2</v>
      </c>
      <c r="AJ92" s="7" t="s">
        <v>89</v>
      </c>
      <c r="AK92" s="15">
        <v>0</v>
      </c>
      <c r="AL92" s="15">
        <v>-5.9090000000000002E-3</v>
      </c>
      <c r="AM92" s="15">
        <v>-7.7094695091720372E-2</v>
      </c>
      <c r="AO92" s="7" t="s">
        <v>84</v>
      </c>
      <c r="AP92" s="15">
        <v>9.9009900990099011E-3</v>
      </c>
      <c r="AQ92" s="15">
        <v>-2.9510009900990099E-2</v>
      </c>
      <c r="AR92" s="15">
        <v>-0.1516631542481606</v>
      </c>
      <c r="AT92" s="7" t="s">
        <v>59</v>
      </c>
      <c r="AU92" s="15">
        <v>0.27970532319391628</v>
      </c>
      <c r="AV92" s="15">
        <v>-2.2913676806083749E-2</v>
      </c>
      <c r="AW92" s="15">
        <v>-4.987707264881542E-2</v>
      </c>
      <c r="AY92" s="7" t="s">
        <v>110</v>
      </c>
      <c r="AZ92" s="15">
        <v>0</v>
      </c>
      <c r="BA92" s="15">
        <v>-3.2049999999999999E-3</v>
      </c>
      <c r="BB92" s="15">
        <v>-5.670258125011058E-2</v>
      </c>
    </row>
    <row r="93" spans="1:54" x14ac:dyDescent="0.2">
      <c r="A93" s="1" t="s">
        <v>89</v>
      </c>
      <c r="B93" s="15">
        <v>5.80789277736411E-3</v>
      </c>
      <c r="C93" s="15">
        <v>7.3372057474778351E-3</v>
      </c>
      <c r="D93" s="15">
        <v>0</v>
      </c>
      <c r="E93" s="15">
        <v>0</v>
      </c>
      <c r="F93" s="15">
        <v>6.1787072243346007E-3</v>
      </c>
      <c r="G93" s="15">
        <v>2.361832782239017E-3</v>
      </c>
      <c r="H93" s="15">
        <v>5.9090000000000002E-3</v>
      </c>
      <c r="J93" s="1" t="s">
        <v>89</v>
      </c>
      <c r="K93" s="11">
        <f t="shared" si="7"/>
        <v>-1.0110722263589021E-4</v>
      </c>
      <c r="L93" s="11">
        <f t="shared" si="8"/>
        <v>1.4282057474778349E-3</v>
      </c>
      <c r="M93" s="11">
        <f t="shared" si="9"/>
        <v>-5.9090000000000002E-3</v>
      </c>
      <c r="N93" s="11">
        <f t="shared" si="10"/>
        <v>-5.9090000000000002E-3</v>
      </c>
      <c r="O93" s="11">
        <f t="shared" si="11"/>
        <v>2.6970722433460048E-4</v>
      </c>
      <c r="P93" s="11">
        <f t="shared" si="12"/>
        <v>-3.5471672177609832E-3</v>
      </c>
      <c r="U93" s="3">
        <v>90</v>
      </c>
      <c r="V93" s="4" t="s">
        <v>89</v>
      </c>
      <c r="W93" s="5">
        <v>5.9090000000000002E-3</v>
      </c>
      <c r="X93" s="5">
        <v>7.6646000000000006E-2</v>
      </c>
      <c r="Z93" s="7" t="s">
        <v>12</v>
      </c>
      <c r="AA93" s="15">
        <v>0.38927773641102009</v>
      </c>
      <c r="AB93" s="15">
        <v>-3.1074263588979911E-2</v>
      </c>
      <c r="AC93" s="15">
        <v>-6.2950771813956891E-2</v>
      </c>
      <c r="AE93" s="7" t="s">
        <v>49</v>
      </c>
      <c r="AF93" s="15">
        <v>0.33644145521247332</v>
      </c>
      <c r="AG93" s="15">
        <v>-2.1112544787526666E-2</v>
      </c>
      <c r="AH93" s="15">
        <v>-4.4049441233166141E-2</v>
      </c>
      <c r="AJ93" s="7" t="s">
        <v>37</v>
      </c>
      <c r="AK93" s="15">
        <v>8.3916083916083919E-2</v>
      </c>
      <c r="AL93" s="15">
        <v>-2.4100916083916082E-2</v>
      </c>
      <c r="AM93" s="15">
        <v>-7.7642202518978382E-2</v>
      </c>
      <c r="AO93" s="7" t="s">
        <v>85</v>
      </c>
      <c r="AP93" s="15">
        <v>9.9009900990099011E-3</v>
      </c>
      <c r="AQ93" s="15">
        <v>-3.0562009900990096E-2</v>
      </c>
      <c r="AR93" s="15">
        <v>-0.15510010251863818</v>
      </c>
      <c r="AT93" s="7" t="s">
        <v>70</v>
      </c>
      <c r="AU93" s="15">
        <v>1.4020912547528521E-2</v>
      </c>
      <c r="AV93" s="15">
        <v>-7.9130874524714779E-3</v>
      </c>
      <c r="AW93" s="15">
        <v>-5.4024574338245389E-2</v>
      </c>
      <c r="AY93" s="7" t="s">
        <v>113</v>
      </c>
      <c r="AZ93" s="15">
        <v>0</v>
      </c>
      <c r="BA93" s="15">
        <v>-7.7120000000000001E-3</v>
      </c>
      <c r="BB93" s="15">
        <v>-6.2833026446577261E-2</v>
      </c>
    </row>
    <row r="94" spans="1:54" x14ac:dyDescent="0.2">
      <c r="A94" s="1" t="s">
        <v>90</v>
      </c>
      <c r="B94" s="15">
        <v>0.29977661950856288</v>
      </c>
      <c r="C94" s="15">
        <v>0.26199938856618771</v>
      </c>
      <c r="D94" s="15">
        <v>0</v>
      </c>
      <c r="E94" s="15">
        <v>0.2277227722772277</v>
      </c>
      <c r="F94" s="15">
        <v>0.21411596958174911</v>
      </c>
      <c r="G94" s="15">
        <v>0.266887104393009</v>
      </c>
      <c r="H94" s="15">
        <v>0.26120500000000002</v>
      </c>
      <c r="J94" s="1" t="s">
        <v>90</v>
      </c>
      <c r="K94" s="11">
        <f t="shared" si="7"/>
        <v>3.857161950856286E-2</v>
      </c>
      <c r="L94" s="11">
        <f t="shared" si="8"/>
        <v>7.9438856618768705E-4</v>
      </c>
      <c r="M94" s="11">
        <f t="shared" si="9"/>
        <v>-0.26120500000000002</v>
      </c>
      <c r="N94" s="11">
        <f t="shared" si="10"/>
        <v>-3.3482227722772318E-2</v>
      </c>
      <c r="O94" s="11">
        <f t="shared" si="11"/>
        <v>-4.708903041825091E-2</v>
      </c>
      <c r="P94" s="11">
        <f t="shared" si="12"/>
        <v>5.6821043930089798E-3</v>
      </c>
      <c r="U94" s="3">
        <v>91</v>
      </c>
      <c r="V94" s="4" t="s">
        <v>90</v>
      </c>
      <c r="W94" s="5">
        <v>0.26120500000000002</v>
      </c>
      <c r="X94" s="5">
        <v>0.43930200000000003</v>
      </c>
      <c r="Z94" s="7" t="s">
        <v>33</v>
      </c>
      <c r="AA94" s="15">
        <v>0.10067014147431121</v>
      </c>
      <c r="AB94" s="15">
        <v>-2.1318858525688794E-2</v>
      </c>
      <c r="AC94" s="15">
        <v>-6.5139310029267802E-2</v>
      </c>
      <c r="AE94" s="7" t="s">
        <v>69</v>
      </c>
      <c r="AF94" s="15">
        <v>7.1232039131763986E-2</v>
      </c>
      <c r="AG94" s="15">
        <v>-1.2847960868236016E-2</v>
      </c>
      <c r="AH94" s="15">
        <v>-4.6296455572621353E-2</v>
      </c>
      <c r="AJ94" s="7" t="s">
        <v>107</v>
      </c>
      <c r="AK94" s="15">
        <v>0.39860139860139859</v>
      </c>
      <c r="AL94" s="15">
        <v>-3.922760139860143E-2</v>
      </c>
      <c r="AM94" s="15">
        <v>-7.9066864057552075E-2</v>
      </c>
      <c r="AO94" s="7" t="s">
        <v>71</v>
      </c>
      <c r="AP94" s="15">
        <v>0.86138613861386137</v>
      </c>
      <c r="AQ94" s="15">
        <v>-0.12714586138613859</v>
      </c>
      <c r="AR94" s="15">
        <v>-0.1567349033871849</v>
      </c>
      <c r="AT94" s="7" t="s">
        <v>110</v>
      </c>
      <c r="AU94" s="15">
        <v>0</v>
      </c>
      <c r="AV94" s="15">
        <v>-3.2049999999999999E-3</v>
      </c>
      <c r="AW94" s="15">
        <v>-5.670258125011058E-2</v>
      </c>
      <c r="AY94" s="7" t="s">
        <v>112</v>
      </c>
      <c r="AZ94" s="15">
        <v>0</v>
      </c>
      <c r="BA94" s="15">
        <v>-5.1079999999999997E-3</v>
      </c>
      <c r="BB94" s="15">
        <v>-7.1652008023678257E-2</v>
      </c>
    </row>
    <row r="95" spans="1:54" x14ac:dyDescent="0.2">
      <c r="A95" s="1" t="s">
        <v>91</v>
      </c>
      <c r="B95" s="15">
        <v>0.11600893521965749</v>
      </c>
      <c r="C95" s="15">
        <v>0.1329868541730358</v>
      </c>
      <c r="D95" s="15">
        <v>0</v>
      </c>
      <c r="E95" s="15">
        <v>3.9603960396039598E-2</v>
      </c>
      <c r="F95" s="15">
        <v>0.1703897338403042</v>
      </c>
      <c r="G95" s="15">
        <v>0.14737836561171469</v>
      </c>
      <c r="H95" s="15">
        <v>0.13430800000000001</v>
      </c>
      <c r="J95" s="1" t="s">
        <v>91</v>
      </c>
      <c r="K95" s="11">
        <f t="shared" si="7"/>
        <v>-1.8299064780342517E-2</v>
      </c>
      <c r="L95" s="11">
        <f t="shared" si="8"/>
        <v>-1.3211458269642151E-3</v>
      </c>
      <c r="M95" s="11">
        <f t="shared" si="9"/>
        <v>-0.13430800000000001</v>
      </c>
      <c r="N95" s="11">
        <f t="shared" si="10"/>
        <v>-9.4704039603960413E-2</v>
      </c>
      <c r="O95" s="11">
        <f t="shared" si="11"/>
        <v>3.6081733840304192E-2</v>
      </c>
      <c r="P95" s="11">
        <f t="shared" si="12"/>
        <v>1.3070365611714679E-2</v>
      </c>
      <c r="U95" s="3">
        <v>92</v>
      </c>
      <c r="V95" s="4" t="s">
        <v>91</v>
      </c>
      <c r="W95" s="5">
        <v>0.13430800000000001</v>
      </c>
      <c r="X95" s="5">
        <v>0.34099200000000002</v>
      </c>
      <c r="Z95" s="7" t="s">
        <v>58</v>
      </c>
      <c r="AA95" s="15">
        <v>1.7125837676842889E-2</v>
      </c>
      <c r="AB95" s="15">
        <v>-1.126816232315711E-2</v>
      </c>
      <c r="AC95" s="15">
        <v>-6.7839628676442568E-2</v>
      </c>
      <c r="AE95" s="7" t="s">
        <v>95</v>
      </c>
      <c r="AF95" s="15">
        <v>0.44986242739223481</v>
      </c>
      <c r="AG95" s="15">
        <v>-2.512357260776521E-2</v>
      </c>
      <c r="AH95" s="15">
        <v>-5.030892457490841E-2</v>
      </c>
      <c r="AJ95" s="7" t="s">
        <v>25</v>
      </c>
      <c r="AK95" s="15">
        <v>8.7412587412587409E-2</v>
      </c>
      <c r="AL95" s="15">
        <v>-2.6063412587412585E-2</v>
      </c>
      <c r="AM95" s="15">
        <v>-8.2171789658343111E-2</v>
      </c>
      <c r="AO95" s="7" t="s">
        <v>58</v>
      </c>
      <c r="AP95" s="15">
        <v>0</v>
      </c>
      <c r="AQ95" s="15">
        <v>-2.8393999999999999E-2</v>
      </c>
      <c r="AR95" s="15">
        <v>-0.17094521372667068</v>
      </c>
      <c r="AT95" s="7" t="s">
        <v>113</v>
      </c>
      <c r="AU95" s="15">
        <v>0</v>
      </c>
      <c r="AV95" s="15">
        <v>-7.7120000000000001E-3</v>
      </c>
      <c r="AW95" s="15">
        <v>-6.2833026446577261E-2</v>
      </c>
      <c r="AY95" s="7" t="s">
        <v>55</v>
      </c>
      <c r="AZ95" s="15">
        <v>1.464336324988191E-2</v>
      </c>
      <c r="BA95" s="15">
        <v>-1.309963675011809E-2</v>
      </c>
      <c r="BB95" s="15">
        <v>-7.9759113188736547E-2</v>
      </c>
    </row>
    <row r="96" spans="1:54" x14ac:dyDescent="0.2">
      <c r="A96" s="1" t="s">
        <v>92</v>
      </c>
      <c r="B96" s="15">
        <v>9.0841399851079672E-3</v>
      </c>
      <c r="C96" s="15">
        <v>1.1922959339651479E-2</v>
      </c>
      <c r="D96" s="15">
        <v>0</v>
      </c>
      <c r="E96" s="15">
        <v>9.9009900990099011E-3</v>
      </c>
      <c r="F96" s="15">
        <v>2.0199619771863121E-2</v>
      </c>
      <c r="G96" s="15">
        <v>1.6060462919225318E-2</v>
      </c>
      <c r="H96" s="15">
        <v>1.2970000000000001E-2</v>
      </c>
      <c r="J96" s="1" t="s">
        <v>92</v>
      </c>
      <c r="K96" s="11">
        <f t="shared" si="7"/>
        <v>-3.8858600148920334E-3</v>
      </c>
      <c r="L96" s="11">
        <f t="shared" si="8"/>
        <v>-1.0470406603485215E-3</v>
      </c>
      <c r="M96" s="11">
        <f t="shared" si="9"/>
        <v>-1.2970000000000001E-2</v>
      </c>
      <c r="N96" s="11">
        <f t="shared" si="10"/>
        <v>-3.0690099009900995E-3</v>
      </c>
      <c r="O96" s="11">
        <f t="shared" si="11"/>
        <v>7.2296197718631199E-3</v>
      </c>
      <c r="P96" s="11">
        <f t="shared" si="12"/>
        <v>3.0904629192253178E-3</v>
      </c>
      <c r="U96" s="3">
        <v>93</v>
      </c>
      <c r="V96" s="4" t="s">
        <v>92</v>
      </c>
      <c r="W96" s="5">
        <v>1.2970000000000001E-2</v>
      </c>
      <c r="X96" s="5">
        <v>0.113148</v>
      </c>
      <c r="Z96" s="7" t="s">
        <v>103</v>
      </c>
      <c r="AA96" s="15">
        <v>1.7125837676842889E-2</v>
      </c>
      <c r="AB96" s="15">
        <v>-1.126816232315711E-2</v>
      </c>
      <c r="AC96" s="15">
        <v>-6.7839628676442568E-2</v>
      </c>
      <c r="AE96" s="7" t="s">
        <v>70</v>
      </c>
      <c r="AF96" s="15">
        <v>1.39101192295934E-2</v>
      </c>
      <c r="AG96" s="15">
        <v>-8.0238807704065985E-3</v>
      </c>
      <c r="AH96" s="15">
        <v>-5.4780987290448682E-2</v>
      </c>
      <c r="AJ96" s="7" t="s">
        <v>101</v>
      </c>
      <c r="AK96" s="15">
        <v>0</v>
      </c>
      <c r="AL96" s="15">
        <v>-6.8609999999999999E-3</v>
      </c>
      <c r="AM96" s="15">
        <v>-8.311729217648342E-2</v>
      </c>
      <c r="AO96" s="7" t="s">
        <v>103</v>
      </c>
      <c r="AP96" s="15">
        <v>0</v>
      </c>
      <c r="AQ96" s="15">
        <v>-2.8393999999999999E-2</v>
      </c>
      <c r="AR96" s="15">
        <v>-0.17094521372667068</v>
      </c>
      <c r="AT96" s="7" t="s">
        <v>112</v>
      </c>
      <c r="AU96" s="15">
        <v>0</v>
      </c>
      <c r="AV96" s="15">
        <v>-5.1079999999999997E-3</v>
      </c>
      <c r="AW96" s="15">
        <v>-7.1652008023678257E-2</v>
      </c>
      <c r="AY96" s="7" t="s">
        <v>77</v>
      </c>
      <c r="AZ96" s="15">
        <v>8.1247047709022205E-2</v>
      </c>
      <c r="BA96" s="15">
        <v>-2.45669522909778E-2</v>
      </c>
      <c r="BB96" s="15">
        <v>-7.9864737444134234E-2</v>
      </c>
    </row>
    <row r="97" spans="1:54" x14ac:dyDescent="0.2">
      <c r="A97" s="1" t="s">
        <v>93</v>
      </c>
      <c r="B97" s="15">
        <v>88.943708116157723</v>
      </c>
      <c r="C97" s="15">
        <v>88.539804341179916</v>
      </c>
      <c r="D97" s="15">
        <v>0</v>
      </c>
      <c r="E97" s="15">
        <v>92.042574257425699</v>
      </c>
      <c r="F97" s="15">
        <v>88.021815589353594</v>
      </c>
      <c r="G97" s="15">
        <v>89.342465753424534</v>
      </c>
      <c r="H97" s="15">
        <v>87.401196855125804</v>
      </c>
      <c r="J97" s="1" t="s">
        <v>93</v>
      </c>
      <c r="K97" s="11">
        <f t="shared" si="7"/>
        <v>1.5425112610319189</v>
      </c>
      <c r="L97" s="11">
        <f t="shared" si="8"/>
        <v>1.1386074860541129</v>
      </c>
      <c r="M97" s="11">
        <f t="shared" si="9"/>
        <v>-87.401196855125804</v>
      </c>
      <c r="N97" s="11">
        <f t="shared" si="10"/>
        <v>4.641377402299895</v>
      </c>
      <c r="O97" s="11">
        <f t="shared" si="11"/>
        <v>0.62061873422779001</v>
      </c>
      <c r="P97" s="11">
        <f t="shared" si="12"/>
        <v>1.9412688982987305</v>
      </c>
      <c r="U97" s="3">
        <v>94</v>
      </c>
      <c r="V97" s="4" t="s">
        <v>93</v>
      </c>
      <c r="W97" s="5">
        <v>87.401196999999996</v>
      </c>
      <c r="X97" s="5">
        <v>12.241847999999999</v>
      </c>
      <c r="Z97" s="7" t="s">
        <v>69</v>
      </c>
      <c r="AA97" s="15">
        <v>6.5227103499627695E-2</v>
      </c>
      <c r="AB97" s="15">
        <v>-1.8852896500372307E-2</v>
      </c>
      <c r="AC97" s="15">
        <v>-6.7934693621506254E-2</v>
      </c>
      <c r="AE97" s="7" t="s">
        <v>80</v>
      </c>
      <c r="AF97" s="15">
        <v>2.5068786303882609E-2</v>
      </c>
      <c r="AG97" s="15">
        <v>-1.033621369611739E-2</v>
      </c>
      <c r="AH97" s="15">
        <v>-5.5930076383436632E-2</v>
      </c>
      <c r="AJ97" s="7" t="s">
        <v>67</v>
      </c>
      <c r="AK97" s="15">
        <v>8.3916083916083919E-2</v>
      </c>
      <c r="AL97" s="15">
        <v>-3.5869916083916084E-2</v>
      </c>
      <c r="AM97" s="15">
        <v>-0.11046448185636223</v>
      </c>
      <c r="AO97" s="7" t="s">
        <v>87</v>
      </c>
      <c r="AP97" s="15">
        <v>1.9801980198019799E-2</v>
      </c>
      <c r="AQ97" s="15">
        <v>-4.1293019801980198E-2</v>
      </c>
      <c r="AR97" s="15">
        <v>-0.17240624525898793</v>
      </c>
      <c r="AT97" s="7" t="s">
        <v>13</v>
      </c>
      <c r="AU97" s="15">
        <v>1.3367395437262359</v>
      </c>
      <c r="AV97" s="15">
        <v>-5.0660456273764032E-2</v>
      </c>
      <c r="AW97" s="15">
        <v>-7.3808929363136419E-2</v>
      </c>
      <c r="AY97" s="7" t="s">
        <v>40</v>
      </c>
      <c r="AZ97" s="15">
        <v>9.4945677846008505E-2</v>
      </c>
      <c r="BA97" s="15">
        <v>-2.9246322153991491E-2</v>
      </c>
      <c r="BB97" s="15">
        <v>-8.8676543557002663E-2</v>
      </c>
    </row>
    <row r="98" spans="1:54" x14ac:dyDescent="0.2">
      <c r="A98" s="1" t="s">
        <v>94</v>
      </c>
      <c r="B98" s="15">
        <v>0.20312732688011911</v>
      </c>
      <c r="C98" s="15">
        <v>0.27162947110975239</v>
      </c>
      <c r="D98" s="15">
        <v>0</v>
      </c>
      <c r="E98" s="15">
        <v>6.9306930693069313E-2</v>
      </c>
      <c r="F98" s="15">
        <v>0.30679657794676812</v>
      </c>
      <c r="G98" s="15">
        <v>0.2461029759093056</v>
      </c>
      <c r="H98" s="15">
        <v>0.24838499999999999</v>
      </c>
      <c r="J98" s="1" t="s">
        <v>94</v>
      </c>
      <c r="K98" s="11">
        <f t="shared" si="7"/>
        <v>-4.5257673119880881E-2</v>
      </c>
      <c r="L98" s="11">
        <f t="shared" si="8"/>
        <v>2.324447110975239E-2</v>
      </c>
      <c r="M98" s="11">
        <f t="shared" si="9"/>
        <v>-0.24838499999999999</v>
      </c>
      <c r="N98" s="11">
        <f t="shared" si="10"/>
        <v>-0.17907806930693068</v>
      </c>
      <c r="O98" s="11">
        <f t="shared" si="11"/>
        <v>5.8411577946768128E-2</v>
      </c>
      <c r="P98" s="11">
        <f t="shared" si="12"/>
        <v>-2.2820240906943901E-3</v>
      </c>
      <c r="U98" s="3">
        <v>95</v>
      </c>
      <c r="V98" s="4" t="s">
        <v>94</v>
      </c>
      <c r="W98" s="5">
        <v>0.24838499999999999</v>
      </c>
      <c r="X98" s="5">
        <v>0.432087</v>
      </c>
      <c r="Z98" s="7" t="s">
        <v>53</v>
      </c>
      <c r="AA98" s="15">
        <v>2.412509307520477E-2</v>
      </c>
      <c r="AB98" s="15">
        <v>-1.3232906924795233E-2</v>
      </c>
      <c r="AC98" s="15">
        <v>-6.9778355663804595E-2</v>
      </c>
      <c r="AE98" s="7" t="s">
        <v>110</v>
      </c>
      <c r="AF98" s="15">
        <v>0</v>
      </c>
      <c r="AG98" s="15">
        <v>-3.2049999999999999E-3</v>
      </c>
      <c r="AH98" s="15">
        <v>-5.670258125011058E-2</v>
      </c>
      <c r="AJ98" s="7" t="s">
        <v>92</v>
      </c>
      <c r="AK98" s="15">
        <v>0</v>
      </c>
      <c r="AL98" s="15">
        <v>-1.2970000000000001E-2</v>
      </c>
      <c r="AM98" s="15">
        <v>-0.11462862799165695</v>
      </c>
      <c r="AO98" s="7" t="s">
        <v>95</v>
      </c>
      <c r="AP98" s="15">
        <v>0.38613861386138609</v>
      </c>
      <c r="AQ98" s="15">
        <v>-8.8847386138613926E-2</v>
      </c>
      <c r="AR98" s="15">
        <v>-0.17791324974791831</v>
      </c>
      <c r="AT98" s="7" t="s">
        <v>45</v>
      </c>
      <c r="AU98" s="15">
        <v>0.1019486692015209</v>
      </c>
      <c r="AV98" s="15">
        <v>-2.4797330798479095E-2</v>
      </c>
      <c r="AW98" s="15">
        <v>-7.453427833277454E-2</v>
      </c>
      <c r="AY98" s="7" t="s">
        <v>64</v>
      </c>
      <c r="AZ98" s="15">
        <v>7.4633915918752958E-2</v>
      </c>
      <c r="BA98" s="15">
        <v>-3.278208408124704E-2</v>
      </c>
      <c r="BB98" s="15">
        <v>-0.1058681869247442</v>
      </c>
    </row>
    <row r="99" spans="1:54" x14ac:dyDescent="0.2">
      <c r="A99" s="1" t="s">
        <v>95</v>
      </c>
      <c r="B99" s="15">
        <v>0.57334326135517499</v>
      </c>
      <c r="C99" s="15">
        <v>0.44986242739223481</v>
      </c>
      <c r="D99" s="15">
        <v>0</v>
      </c>
      <c r="E99" s="15">
        <v>0.38613861386138609</v>
      </c>
      <c r="F99" s="15">
        <v>0.42751901140684412</v>
      </c>
      <c r="G99" s="15">
        <v>0.40340103920642417</v>
      </c>
      <c r="H99" s="15">
        <v>0.47498600000000002</v>
      </c>
      <c r="J99" s="1" t="s">
        <v>95</v>
      </c>
      <c r="K99" s="11">
        <f t="shared" si="7"/>
        <v>9.8357261355174974E-2</v>
      </c>
      <c r="L99" s="11">
        <f t="shared" si="8"/>
        <v>-2.512357260776521E-2</v>
      </c>
      <c r="M99" s="11">
        <f t="shared" si="9"/>
        <v>-0.47498600000000002</v>
      </c>
      <c r="N99" s="11">
        <f t="shared" si="10"/>
        <v>-8.8847386138613926E-2</v>
      </c>
      <c r="O99" s="11">
        <f t="shared" si="11"/>
        <v>-4.7466988593155901E-2</v>
      </c>
      <c r="P99" s="11">
        <f t="shared" si="12"/>
        <v>-7.1584960793575847E-2</v>
      </c>
      <c r="U99" s="3">
        <v>96</v>
      </c>
      <c r="V99" s="4" t="s">
        <v>95</v>
      </c>
      <c r="W99" s="5">
        <v>0.47498600000000002</v>
      </c>
      <c r="X99" s="5">
        <v>0.499386</v>
      </c>
      <c r="Z99" s="7" t="s">
        <v>86</v>
      </c>
      <c r="AA99" s="15">
        <v>9.1437081161578559E-2</v>
      </c>
      <c r="AB99" s="15">
        <v>-2.2188918838421445E-2</v>
      </c>
      <c r="AC99" s="15">
        <v>-6.9916086646043027E-2</v>
      </c>
      <c r="AE99" s="7" t="s">
        <v>113</v>
      </c>
      <c r="AF99" s="15">
        <v>0</v>
      </c>
      <c r="AG99" s="15">
        <v>-7.7120000000000001E-3</v>
      </c>
      <c r="AH99" s="15">
        <v>-6.2833026446577261E-2</v>
      </c>
      <c r="AJ99" s="7" t="s">
        <v>19</v>
      </c>
      <c r="AK99" s="15">
        <v>8.3916083916083919E-2</v>
      </c>
      <c r="AL99" s="15">
        <v>-3.8523916083916074E-2</v>
      </c>
      <c r="AM99" s="15">
        <v>-0.11752226528874553</v>
      </c>
      <c r="AO99" s="7" t="s">
        <v>78</v>
      </c>
      <c r="AP99" s="15">
        <v>8.9108910891089105E-2</v>
      </c>
      <c r="AQ99" s="15">
        <v>-6.6282089108910897E-2</v>
      </c>
      <c r="AR99" s="15">
        <v>-0.18295514899529902</v>
      </c>
      <c r="AT99" s="7" t="s">
        <v>49</v>
      </c>
      <c r="AU99" s="15">
        <v>0.32129277566539932</v>
      </c>
      <c r="AV99" s="15">
        <v>-3.6261224334600661E-2</v>
      </c>
      <c r="AW99" s="15">
        <v>-7.5655809683033856E-2</v>
      </c>
      <c r="AY99" s="7" t="s">
        <v>31</v>
      </c>
      <c r="AZ99" s="15">
        <v>8.5025980160604628E-2</v>
      </c>
      <c r="BA99" s="15">
        <v>-3.5311019839395372E-2</v>
      </c>
      <c r="BB99" s="15">
        <v>-0.10852807430284135</v>
      </c>
    </row>
    <row r="100" spans="1:54" x14ac:dyDescent="0.2">
      <c r="A100" s="1" t="s">
        <v>96</v>
      </c>
      <c r="B100" s="15">
        <v>0.22352941176470589</v>
      </c>
      <c r="C100" s="15">
        <v>0.27850810149801292</v>
      </c>
      <c r="D100" s="15">
        <v>0</v>
      </c>
      <c r="E100" s="15">
        <v>0.53465346534653468</v>
      </c>
      <c r="F100" s="15">
        <v>0.26568441064638781</v>
      </c>
      <c r="G100" s="15">
        <v>0.3504959848842702</v>
      </c>
      <c r="H100" s="15">
        <v>0.26225599999999999</v>
      </c>
      <c r="J100" s="1" t="s">
        <v>96</v>
      </c>
      <c r="K100" s="11">
        <f t="shared" si="7"/>
        <v>-3.8726588235294096E-2</v>
      </c>
      <c r="L100" s="11">
        <f t="shared" si="8"/>
        <v>1.6252101498012927E-2</v>
      </c>
      <c r="M100" s="11">
        <f t="shared" si="9"/>
        <v>-0.26225599999999999</v>
      </c>
      <c r="N100" s="11">
        <f t="shared" si="10"/>
        <v>0.2723974653465347</v>
      </c>
      <c r="O100" s="11">
        <f t="shared" si="11"/>
        <v>3.428410646387825E-3</v>
      </c>
      <c r="P100" s="11">
        <f t="shared" si="12"/>
        <v>8.8239984884270206E-2</v>
      </c>
      <c r="U100" s="3">
        <v>97</v>
      </c>
      <c r="V100" s="4" t="s">
        <v>96</v>
      </c>
      <c r="W100" s="5">
        <v>0.26225599999999999</v>
      </c>
      <c r="X100" s="5">
        <v>0.43987199999999999</v>
      </c>
      <c r="Z100" s="7" t="s">
        <v>70</v>
      </c>
      <c r="AA100" s="15">
        <v>1.161578555472822E-2</v>
      </c>
      <c r="AB100" s="15">
        <v>-1.0318214445271779E-2</v>
      </c>
      <c r="AC100" s="15">
        <v>-7.0444961803428505E-2</v>
      </c>
      <c r="AE100" s="7" t="s">
        <v>31</v>
      </c>
      <c r="AF100" s="15">
        <v>9.7829409966371142E-2</v>
      </c>
      <c r="AG100" s="15">
        <v>-2.2507590033628858E-2</v>
      </c>
      <c r="AH100" s="15">
        <v>-6.9176857951361581E-2</v>
      </c>
      <c r="AJ100" s="7" t="s">
        <v>3</v>
      </c>
      <c r="AK100" s="15">
        <v>0.10139860139860141</v>
      </c>
      <c r="AL100" s="15">
        <v>-6.29063986013986E-2</v>
      </c>
      <c r="AM100" s="15">
        <v>-0.16975990080283301</v>
      </c>
      <c r="AO100" s="7" t="s">
        <v>107</v>
      </c>
      <c r="AP100" s="15">
        <v>0.34653465346534651</v>
      </c>
      <c r="AQ100" s="15">
        <v>-9.1294346534653514E-2</v>
      </c>
      <c r="AR100" s="15">
        <v>-0.18401221153776315</v>
      </c>
      <c r="AT100" s="7" t="s">
        <v>10</v>
      </c>
      <c r="AU100" s="15">
        <v>0.42561787072243351</v>
      </c>
      <c r="AV100" s="15">
        <v>-4.2958129277566481E-2</v>
      </c>
      <c r="AW100" s="15">
        <v>-8.6084295099166527E-2</v>
      </c>
      <c r="AY100" s="7" t="s">
        <v>102</v>
      </c>
      <c r="AZ100" s="15">
        <v>0</v>
      </c>
      <c r="BA100" s="15">
        <v>-1.4371999999999999E-2</v>
      </c>
      <c r="BB100" s="15">
        <v>-0.12074977105265368</v>
      </c>
    </row>
    <row r="101" spans="1:54" x14ac:dyDescent="0.2">
      <c r="A101" s="1" t="s">
        <v>97</v>
      </c>
      <c r="B101" s="15">
        <v>8.8756515264333577E-2</v>
      </c>
      <c r="C101" s="15">
        <v>0.11540813206970341</v>
      </c>
      <c r="D101" s="15">
        <v>0</v>
      </c>
      <c r="E101" s="15">
        <v>2.9702970297029702E-2</v>
      </c>
      <c r="F101" s="15">
        <v>0.11834600760456269</v>
      </c>
      <c r="G101" s="15">
        <v>9.7307510628247523E-2</v>
      </c>
      <c r="H101" s="15">
        <v>0.10306</v>
      </c>
      <c r="J101" s="1" t="s">
        <v>97</v>
      </c>
      <c r="K101" s="11">
        <f t="shared" si="7"/>
        <v>-1.4303484735666422E-2</v>
      </c>
      <c r="L101" s="11">
        <f t="shared" si="8"/>
        <v>1.2348132069703407E-2</v>
      </c>
      <c r="M101" s="11">
        <f t="shared" si="9"/>
        <v>-0.10306</v>
      </c>
      <c r="N101" s="11">
        <f t="shared" si="10"/>
        <v>-7.3357029702970297E-2</v>
      </c>
      <c r="O101" s="11">
        <f t="shared" si="11"/>
        <v>1.5286007604562696E-2</v>
      </c>
      <c r="P101" s="11">
        <f t="shared" si="12"/>
        <v>-5.7524893717524755E-3</v>
      </c>
      <c r="U101" s="3">
        <v>98</v>
      </c>
      <c r="V101" s="4" t="s">
        <v>97</v>
      </c>
      <c r="W101" s="5">
        <v>0.10306</v>
      </c>
      <c r="X101" s="5">
        <v>0.30404500000000001</v>
      </c>
      <c r="Z101" s="7" t="s">
        <v>112</v>
      </c>
      <c r="AA101" s="15">
        <v>0</v>
      </c>
      <c r="AB101" s="15">
        <v>-5.1079999999999997E-3</v>
      </c>
      <c r="AC101" s="15">
        <v>-7.1652008023678257E-2</v>
      </c>
      <c r="AE101" s="7" t="s">
        <v>44</v>
      </c>
      <c r="AF101" s="15">
        <v>0.2250076429226536</v>
      </c>
      <c r="AG101" s="15">
        <v>-3.0638357077346384E-2</v>
      </c>
      <c r="AH101" s="15">
        <v>-7.0233605917329842E-2</v>
      </c>
      <c r="AJ101" s="7" t="s">
        <v>2</v>
      </c>
      <c r="AK101" s="15">
        <v>0.10139860139860141</v>
      </c>
      <c r="AL101" s="15">
        <v>-6.7413398601398583E-2</v>
      </c>
      <c r="AM101" s="15">
        <v>-0.17996342343437199</v>
      </c>
      <c r="AO101" s="7" t="s">
        <v>14</v>
      </c>
      <c r="AP101" s="15">
        <v>0.17821782178217821</v>
      </c>
      <c r="AQ101" s="15">
        <v>-8.3938178217821791E-2</v>
      </c>
      <c r="AR101" s="15">
        <v>-0.19084752833631591</v>
      </c>
      <c r="AT101" s="7" t="s">
        <v>95</v>
      </c>
      <c r="AU101" s="15">
        <v>0.42751901140684412</v>
      </c>
      <c r="AV101" s="15">
        <v>-4.7466988593155901E-2</v>
      </c>
      <c r="AW101" s="15">
        <v>-9.5050699445230549E-2</v>
      </c>
      <c r="AY101" s="7" t="s">
        <v>114</v>
      </c>
      <c r="AZ101" s="15">
        <v>0</v>
      </c>
      <c r="BA101" s="15">
        <v>-1.4371999999999999E-2</v>
      </c>
      <c r="BB101" s="15">
        <v>-0.12074977105265368</v>
      </c>
    </row>
    <row r="102" spans="1:54" x14ac:dyDescent="0.2">
      <c r="A102" s="1" t="s">
        <v>98</v>
      </c>
      <c r="B102" s="15">
        <v>0.35026061057334318</v>
      </c>
      <c r="C102" s="15">
        <v>0.350810149801284</v>
      </c>
      <c r="D102" s="15">
        <v>0</v>
      </c>
      <c r="E102" s="15">
        <v>8.9108910891089105E-2</v>
      </c>
      <c r="F102" s="15">
        <v>0.39567490494296581</v>
      </c>
      <c r="G102" s="15">
        <v>0.33821445441662729</v>
      </c>
      <c r="H102" s="15">
        <v>0.35239599999999999</v>
      </c>
      <c r="J102" s="1" t="s">
        <v>98</v>
      </c>
      <c r="K102" s="11">
        <f t="shared" si="7"/>
        <v>-2.1353894266568085E-3</v>
      </c>
      <c r="L102" s="11">
        <f t="shared" si="8"/>
        <v>-1.5858501987159879E-3</v>
      </c>
      <c r="M102" s="11">
        <f t="shared" si="9"/>
        <v>-0.35239599999999999</v>
      </c>
      <c r="N102" s="11">
        <f t="shared" si="10"/>
        <v>-0.26328708910891085</v>
      </c>
      <c r="O102" s="11">
        <f t="shared" si="11"/>
        <v>4.3278904942965823E-2</v>
      </c>
      <c r="P102" s="11">
        <f t="shared" si="12"/>
        <v>-1.4181545583372701E-2</v>
      </c>
      <c r="U102" s="3">
        <v>99</v>
      </c>
      <c r="V102" s="4" t="s">
        <v>98</v>
      </c>
      <c r="W102" s="5">
        <v>0.35239599999999999</v>
      </c>
      <c r="X102" s="5">
        <v>0.47772900000000001</v>
      </c>
      <c r="Z102" s="7" t="s">
        <v>96</v>
      </c>
      <c r="AA102" s="15">
        <v>0.22352941176470589</v>
      </c>
      <c r="AB102" s="15">
        <v>-3.8726588235294096E-2</v>
      </c>
      <c r="AC102" s="15">
        <v>-8.8040585068597452E-2</v>
      </c>
      <c r="AE102" s="7" t="s">
        <v>112</v>
      </c>
      <c r="AF102" s="15">
        <v>0</v>
      </c>
      <c r="AG102" s="15">
        <v>-5.1079999999999997E-3</v>
      </c>
      <c r="AH102" s="15">
        <v>-7.1652008023678257E-2</v>
      </c>
      <c r="AJ102" s="7" t="s">
        <v>5</v>
      </c>
      <c r="AK102" s="15">
        <v>0.1048951048951049</v>
      </c>
      <c r="AL102" s="15">
        <v>-7.2279895104895103E-2</v>
      </c>
      <c r="AM102" s="15">
        <v>-0.18930061102411858</v>
      </c>
      <c r="AO102" s="7" t="s">
        <v>61</v>
      </c>
      <c r="AP102" s="15">
        <v>4.9504950495049507E-2</v>
      </c>
      <c r="AQ102" s="15">
        <v>-5.9865049504950488E-2</v>
      </c>
      <c r="AR102" s="15">
        <v>-0.19180753421854629</v>
      </c>
      <c r="AT102" s="7" t="s">
        <v>79</v>
      </c>
      <c r="AU102" s="15">
        <v>2.3764258555133079E-3</v>
      </c>
      <c r="AV102" s="15">
        <v>-1.3097574144486692E-2</v>
      </c>
      <c r="AW102" s="15">
        <v>-0.10611251747524279</v>
      </c>
      <c r="AY102" s="7" t="s">
        <v>65</v>
      </c>
      <c r="AZ102" s="15">
        <v>6.9437883797827116E-2</v>
      </c>
      <c r="BA102" s="15">
        <v>-4.0182116202172879E-2</v>
      </c>
      <c r="BB102" s="15">
        <v>-0.12861446245050101</v>
      </c>
    </row>
    <row r="103" spans="1:54" x14ac:dyDescent="0.2">
      <c r="A103" s="1" t="s">
        <v>99</v>
      </c>
      <c r="B103" s="15">
        <v>0.51377513030528665</v>
      </c>
      <c r="C103" s="15">
        <v>0.46102109446652401</v>
      </c>
      <c r="D103" s="15">
        <v>0</v>
      </c>
      <c r="E103" s="15">
        <v>0.6633663366336634</v>
      </c>
      <c r="F103" s="15">
        <v>0.40280418250950573</v>
      </c>
      <c r="G103" s="15">
        <v>0.45299952763344348</v>
      </c>
      <c r="H103" s="15">
        <v>0.460063</v>
      </c>
      <c r="J103" s="1" t="s">
        <v>99</v>
      </c>
      <c r="K103" s="11">
        <f t="shared" si="7"/>
        <v>5.3712130305286654E-2</v>
      </c>
      <c r="L103" s="11">
        <f t="shared" si="8"/>
        <v>9.5809446652400654E-4</v>
      </c>
      <c r="M103" s="11">
        <f t="shared" si="9"/>
        <v>-0.460063</v>
      </c>
      <c r="N103" s="11">
        <f t="shared" si="10"/>
        <v>0.2033033366336634</v>
      </c>
      <c r="O103" s="11">
        <f t="shared" si="11"/>
        <v>-5.7258817490494274E-2</v>
      </c>
      <c r="P103" s="11">
        <f t="shared" si="12"/>
        <v>-7.0634723665565224E-3</v>
      </c>
      <c r="U103" s="3">
        <v>100</v>
      </c>
      <c r="V103" s="4" t="s">
        <v>99</v>
      </c>
      <c r="W103" s="5">
        <v>0.460063</v>
      </c>
      <c r="X103" s="5">
        <v>0.498415</v>
      </c>
      <c r="Z103" s="7" t="s">
        <v>100</v>
      </c>
      <c r="AA103" s="15">
        <v>4.169769173492182E-2</v>
      </c>
      <c r="AB103" s="15">
        <v>-2.1550308265078179E-2</v>
      </c>
      <c r="AC103" s="15">
        <v>-8.8533197481988291E-2</v>
      </c>
      <c r="AE103" s="7" t="s">
        <v>45</v>
      </c>
      <c r="AF103" s="15">
        <v>0.1002751452155304</v>
      </c>
      <c r="AG103" s="15">
        <v>-2.6470854784469602E-2</v>
      </c>
      <c r="AH103" s="15">
        <v>-7.9564452893983423E-2</v>
      </c>
      <c r="AJ103" s="7" t="s">
        <v>4</v>
      </c>
      <c r="AK103" s="15">
        <v>8.7412587412587409E-2</v>
      </c>
      <c r="AL103" s="15">
        <v>-7.1483412587412601E-2</v>
      </c>
      <c r="AM103" s="15">
        <v>-0.19552944040278181</v>
      </c>
      <c r="AO103" s="7" t="s">
        <v>53</v>
      </c>
      <c r="AP103" s="15">
        <v>0</v>
      </c>
      <c r="AQ103" s="15">
        <v>-3.7358000000000002E-2</v>
      </c>
      <c r="AR103" s="15">
        <v>-0.19699222746016179</v>
      </c>
      <c r="AT103" s="7" t="s">
        <v>90</v>
      </c>
      <c r="AU103" s="15">
        <v>0.21411596958174911</v>
      </c>
      <c r="AV103" s="15">
        <v>-4.708903041825091E-2</v>
      </c>
      <c r="AW103" s="15">
        <v>-0.10719056689532692</v>
      </c>
      <c r="AY103" s="7" t="s">
        <v>56</v>
      </c>
      <c r="AZ103" s="15">
        <v>1.275389702409069E-2</v>
      </c>
      <c r="BA103" s="15">
        <v>-2.470410297590931E-2</v>
      </c>
      <c r="BB103" s="15">
        <v>-0.13009965440269061</v>
      </c>
    </row>
    <row r="104" spans="1:54" x14ac:dyDescent="0.2">
      <c r="A104" s="1" t="s">
        <v>100</v>
      </c>
      <c r="B104" s="15">
        <v>4.169769173492182E-2</v>
      </c>
      <c r="C104" s="15">
        <v>6.5881993274228071E-2</v>
      </c>
      <c r="D104" s="15">
        <v>0</v>
      </c>
      <c r="E104" s="15">
        <v>0.20792079207920791</v>
      </c>
      <c r="F104" s="15">
        <v>7.1530418250950564E-2</v>
      </c>
      <c r="G104" s="15">
        <v>0.10864430798299481</v>
      </c>
      <c r="H104" s="15">
        <v>6.3247999999999999E-2</v>
      </c>
      <c r="J104" s="1" t="s">
        <v>100</v>
      </c>
      <c r="K104" s="11">
        <f t="shared" si="7"/>
        <v>-2.1550308265078179E-2</v>
      </c>
      <c r="L104" s="11">
        <f t="shared" si="8"/>
        <v>2.6339932742280719E-3</v>
      </c>
      <c r="M104" s="11">
        <f t="shared" si="9"/>
        <v>-6.3247999999999999E-2</v>
      </c>
      <c r="N104" s="11">
        <f t="shared" si="10"/>
        <v>0.14467279207920791</v>
      </c>
      <c r="O104" s="11">
        <f t="shared" si="11"/>
        <v>8.2824182509505656E-3</v>
      </c>
      <c r="P104" s="11">
        <f t="shared" si="12"/>
        <v>4.5396307982994807E-2</v>
      </c>
      <c r="U104" s="3">
        <v>101</v>
      </c>
      <c r="V104" s="4" t="s">
        <v>100</v>
      </c>
      <c r="W104" s="5">
        <v>6.3247999999999999E-2</v>
      </c>
      <c r="X104" s="5">
        <v>0.24341499999999999</v>
      </c>
      <c r="Z104" s="7" t="s">
        <v>108</v>
      </c>
      <c r="AA104" s="15">
        <v>4.3186895011169027E-2</v>
      </c>
      <c r="AB104" s="15">
        <v>-2.3116104988830974E-2</v>
      </c>
      <c r="AC104" s="15">
        <v>-9.2904041881507179E-2</v>
      </c>
      <c r="AE104" s="7" t="s">
        <v>83</v>
      </c>
      <c r="AF104" s="15">
        <v>0</v>
      </c>
      <c r="AG104" s="15">
        <v>-1.0066E-2</v>
      </c>
      <c r="AH104" s="15">
        <v>-0.10083747395415933</v>
      </c>
      <c r="AJ104" s="7" t="s">
        <v>85</v>
      </c>
      <c r="AK104" s="15">
        <v>0</v>
      </c>
      <c r="AL104" s="15">
        <v>-4.0462999999999999E-2</v>
      </c>
      <c r="AM104" s="15">
        <v>-0.20534694768253259</v>
      </c>
      <c r="AO104" s="7" t="s">
        <v>97</v>
      </c>
      <c r="AP104" s="15">
        <v>2.9702970297029702E-2</v>
      </c>
      <c r="AQ104" s="15">
        <v>-7.3357029702970297E-2</v>
      </c>
      <c r="AR104" s="15">
        <v>-0.24127030440550015</v>
      </c>
      <c r="AT104" s="7" t="s">
        <v>51</v>
      </c>
      <c r="AU104" s="15">
        <v>0.1373574144486692</v>
      </c>
      <c r="AV104" s="15">
        <v>-4.2120585551330803E-2</v>
      </c>
      <c r="AW104" s="15">
        <v>-0.10975705137905994</v>
      </c>
      <c r="AY104" s="7" t="s">
        <v>62</v>
      </c>
      <c r="AZ104" s="15">
        <v>6.2352385451110062E-2</v>
      </c>
      <c r="BA104" s="15">
        <v>-4.1107614548889934E-2</v>
      </c>
      <c r="BB104" s="15">
        <v>-0.13497067820509095</v>
      </c>
    </row>
    <row r="105" spans="1:54" x14ac:dyDescent="0.2">
      <c r="A105" s="1" t="s">
        <v>101</v>
      </c>
      <c r="B105" s="15">
        <v>5.5100521221146687E-3</v>
      </c>
      <c r="C105" s="15">
        <v>6.8786303882604708E-3</v>
      </c>
      <c r="D105" s="15">
        <v>0</v>
      </c>
      <c r="E105" s="15">
        <v>0</v>
      </c>
      <c r="F105" s="15">
        <v>1.164448669201521E-2</v>
      </c>
      <c r="G105" s="15">
        <v>2.8341993386868211E-3</v>
      </c>
      <c r="H105" s="15">
        <v>6.8609999999999999E-3</v>
      </c>
      <c r="J105" s="1" t="s">
        <v>101</v>
      </c>
      <c r="K105" s="11">
        <f t="shared" si="7"/>
        <v>-1.3509478778853312E-3</v>
      </c>
      <c r="L105" s="11">
        <f t="shared" si="8"/>
        <v>1.7630388260470899E-5</v>
      </c>
      <c r="M105" s="11">
        <f t="shared" si="9"/>
        <v>-6.8609999999999999E-3</v>
      </c>
      <c r="N105" s="11">
        <f t="shared" si="10"/>
        <v>-6.8609999999999999E-3</v>
      </c>
      <c r="O105" s="11">
        <f t="shared" si="11"/>
        <v>4.7834866920152099E-3</v>
      </c>
      <c r="P105" s="11">
        <f t="shared" si="12"/>
        <v>-4.0268006613131783E-3</v>
      </c>
      <c r="U105" s="3">
        <v>102</v>
      </c>
      <c r="V105" s="4" t="s">
        <v>101</v>
      </c>
      <c r="W105" s="5">
        <v>6.8609999999999999E-3</v>
      </c>
      <c r="X105" s="5">
        <v>8.2545999999999994E-2</v>
      </c>
      <c r="Z105" s="7" t="s">
        <v>13</v>
      </c>
      <c r="AA105" s="15">
        <v>1.320774385703648</v>
      </c>
      <c r="AB105" s="15">
        <v>-6.6625614296351943E-2</v>
      </c>
      <c r="AC105" s="15">
        <v>-9.7069107171103675E-2</v>
      </c>
      <c r="AE105" s="7" t="s">
        <v>102</v>
      </c>
      <c r="AF105" s="15">
        <v>0</v>
      </c>
      <c r="AG105" s="15">
        <v>-1.4371999999999999E-2</v>
      </c>
      <c r="AH105" s="15">
        <v>-0.12074977105265368</v>
      </c>
      <c r="AJ105" s="7" t="s">
        <v>12</v>
      </c>
      <c r="AK105" s="15">
        <v>0.31818181818181818</v>
      </c>
      <c r="AL105" s="15">
        <v>-0.10217018181818183</v>
      </c>
      <c r="AM105" s="15">
        <v>-0.20697809244650187</v>
      </c>
      <c r="AO105" s="7" t="s">
        <v>91</v>
      </c>
      <c r="AP105" s="15">
        <v>3.9603960396039598E-2</v>
      </c>
      <c r="AQ105" s="15">
        <v>-9.4704039603960413E-2</v>
      </c>
      <c r="AR105" s="15">
        <v>-0.27773097199922697</v>
      </c>
      <c r="AT105" s="7" t="s">
        <v>99</v>
      </c>
      <c r="AU105" s="15">
        <v>0.40280418250950573</v>
      </c>
      <c r="AV105" s="15">
        <v>-5.7258817490494274E-2</v>
      </c>
      <c r="AW105" s="15">
        <v>-0.114881810319702</v>
      </c>
      <c r="AY105" s="7" t="s">
        <v>95</v>
      </c>
      <c r="AZ105" s="15">
        <v>0.40340103920642417</v>
      </c>
      <c r="BA105" s="15">
        <v>-7.1584960793575847E-2</v>
      </c>
      <c r="BB105" s="15">
        <v>-0.1433459504142604</v>
      </c>
    </row>
    <row r="106" spans="1:54" x14ac:dyDescent="0.2">
      <c r="A106" s="1" t="s">
        <v>102</v>
      </c>
      <c r="B106" s="15">
        <v>0</v>
      </c>
      <c r="C106" s="15">
        <v>0</v>
      </c>
      <c r="D106" s="15">
        <v>1</v>
      </c>
      <c r="E106" s="15">
        <v>9.9009900990099011E-3</v>
      </c>
      <c r="F106" s="15">
        <v>0</v>
      </c>
      <c r="G106" s="15">
        <v>0</v>
      </c>
      <c r="H106" s="15">
        <v>1.4371999999999999E-2</v>
      </c>
      <c r="J106" s="1" t="s">
        <v>102</v>
      </c>
      <c r="K106" s="11">
        <f t="shared" si="7"/>
        <v>-1.4371999999999999E-2</v>
      </c>
      <c r="L106" s="11">
        <f t="shared" si="8"/>
        <v>-1.4371999999999999E-2</v>
      </c>
      <c r="M106" s="11">
        <f t="shared" si="9"/>
        <v>0.98562799999999995</v>
      </c>
      <c r="N106" s="11">
        <f t="shared" si="10"/>
        <v>-4.4710099009900982E-3</v>
      </c>
      <c r="O106" s="11">
        <f t="shared" si="11"/>
        <v>-1.4371999999999999E-2</v>
      </c>
      <c r="P106" s="11">
        <f t="shared" si="12"/>
        <v>-1.4371999999999999E-2</v>
      </c>
      <c r="U106" s="3">
        <v>103</v>
      </c>
      <c r="V106" s="4" t="s">
        <v>102</v>
      </c>
      <c r="W106" s="5">
        <v>1.4371999999999999E-2</v>
      </c>
      <c r="X106" s="5">
        <v>0.119023</v>
      </c>
      <c r="Z106" s="7" t="s">
        <v>55</v>
      </c>
      <c r="AA106" s="15">
        <v>1.131794489947878E-2</v>
      </c>
      <c r="AB106" s="15">
        <v>-1.6425055100521221E-2</v>
      </c>
      <c r="AC106" s="15">
        <v>-0.10000642413858513</v>
      </c>
      <c r="AE106" s="7" t="s">
        <v>114</v>
      </c>
      <c r="AF106" s="15">
        <v>0</v>
      </c>
      <c r="AG106" s="15">
        <v>-1.4371999999999999E-2</v>
      </c>
      <c r="AH106" s="15">
        <v>-0.12074977105265368</v>
      </c>
      <c r="AJ106" s="7" t="s">
        <v>87</v>
      </c>
      <c r="AK106" s="15">
        <v>0</v>
      </c>
      <c r="AL106" s="15">
        <v>-6.1094999999999997E-2</v>
      </c>
      <c r="AM106" s="15">
        <v>-0.255083295060749</v>
      </c>
      <c r="AO106" s="7" t="s">
        <v>75</v>
      </c>
      <c r="AP106" s="15">
        <v>1.9801980198019799E-2</v>
      </c>
      <c r="AQ106" s="15">
        <v>-8.6513019801980201E-2</v>
      </c>
      <c r="AR106" s="15">
        <v>-0.28066044159890802</v>
      </c>
      <c r="AT106" s="7" t="s">
        <v>52</v>
      </c>
      <c r="AU106" s="15">
        <v>4.3726235741444873E-2</v>
      </c>
      <c r="AV106" s="15">
        <v>-3.164076425855513E-2</v>
      </c>
      <c r="AW106" s="15">
        <v>-0.11985637378282858</v>
      </c>
      <c r="AY106" s="7" t="s">
        <v>9</v>
      </c>
      <c r="AZ106" s="15">
        <v>0.42418516769012748</v>
      </c>
      <c r="BA106" s="15">
        <v>-7.6440832309872531E-2</v>
      </c>
      <c r="BB106" s="15">
        <v>-0.15287799554785192</v>
      </c>
    </row>
    <row r="107" spans="1:54" x14ac:dyDescent="0.2">
      <c r="A107" s="1" t="s">
        <v>103</v>
      </c>
      <c r="B107" s="15">
        <v>1.7125837676842889E-2</v>
      </c>
      <c r="C107" s="15">
        <v>4.585753592173647E-4</v>
      </c>
      <c r="D107" s="15">
        <v>3.4965034965034968E-2</v>
      </c>
      <c r="E107" s="15">
        <v>0</v>
      </c>
      <c r="F107" s="15">
        <v>2.3764258555133079E-3</v>
      </c>
      <c r="G107" s="15">
        <v>0.2026452527161077</v>
      </c>
      <c r="H107" s="15">
        <v>2.8393999999999999E-2</v>
      </c>
      <c r="J107" s="1" t="s">
        <v>103</v>
      </c>
      <c r="K107" s="11">
        <f t="shared" si="7"/>
        <v>-1.126816232315711E-2</v>
      </c>
      <c r="L107" s="11">
        <f t="shared" si="8"/>
        <v>-2.7935424640782636E-2</v>
      </c>
      <c r="M107" s="11">
        <f t="shared" si="9"/>
        <v>6.5710349650349685E-3</v>
      </c>
      <c r="N107" s="11">
        <f t="shared" si="10"/>
        <v>-2.8393999999999999E-2</v>
      </c>
      <c r="O107" s="11">
        <f t="shared" si="11"/>
        <v>-2.6017574144486692E-2</v>
      </c>
      <c r="P107" s="11">
        <f t="shared" si="12"/>
        <v>0.1742512527161077</v>
      </c>
      <c r="U107" s="3">
        <v>104</v>
      </c>
      <c r="V107" s="4" t="s">
        <v>103</v>
      </c>
      <c r="W107" s="5">
        <v>2.8393999999999999E-2</v>
      </c>
      <c r="X107" s="5">
        <v>0.1661</v>
      </c>
      <c r="Z107" s="7" t="s">
        <v>94</v>
      </c>
      <c r="AA107" s="15">
        <v>0.20312732688011911</v>
      </c>
      <c r="AB107" s="15">
        <v>-4.5257673119880881E-2</v>
      </c>
      <c r="AC107" s="15">
        <v>-0.10474203833922539</v>
      </c>
      <c r="AE107" s="7" t="s">
        <v>57</v>
      </c>
      <c r="AF107" s="15">
        <v>0.44665239987771321</v>
      </c>
      <c r="AG107" s="15">
        <v>-7.1250600122286789E-2</v>
      </c>
      <c r="AH107" s="15">
        <v>-0.14258903509018914</v>
      </c>
      <c r="AJ107" s="7" t="s">
        <v>100</v>
      </c>
      <c r="AK107" s="15">
        <v>0</v>
      </c>
      <c r="AL107" s="15">
        <v>-6.3247999999999999E-2</v>
      </c>
      <c r="AM107" s="15">
        <v>-0.25983608241069778</v>
      </c>
      <c r="AO107" s="7" t="s">
        <v>52</v>
      </c>
      <c r="AP107" s="15">
        <v>0</v>
      </c>
      <c r="AQ107" s="15">
        <v>-7.5367000000000003E-2</v>
      </c>
      <c r="AR107" s="15">
        <v>-0.28549295614590003</v>
      </c>
      <c r="AT107" s="7" t="s">
        <v>102</v>
      </c>
      <c r="AU107" s="15">
        <v>0</v>
      </c>
      <c r="AV107" s="15">
        <v>-1.4371999999999999E-2</v>
      </c>
      <c r="AW107" s="15">
        <v>-0.12074977105265368</v>
      </c>
      <c r="AY107" s="7" t="s">
        <v>60</v>
      </c>
      <c r="AZ107" s="15">
        <v>0.42418516769012748</v>
      </c>
      <c r="BA107" s="15">
        <v>-7.6440832309872531E-2</v>
      </c>
      <c r="BB107" s="15">
        <v>-0.15287799554785192</v>
      </c>
    </row>
    <row r="108" spans="1:54" x14ac:dyDescent="0.2">
      <c r="A108" s="1" t="s">
        <v>104</v>
      </c>
      <c r="B108" s="15">
        <v>3.2868205510052463E-2</v>
      </c>
      <c r="C108" s="15">
        <v>1.549373280342453E-2</v>
      </c>
      <c r="D108" s="15">
        <v>3.1398601398601317E-2</v>
      </c>
      <c r="E108" s="15">
        <v>1.643564356435645E-2</v>
      </c>
      <c r="F108" s="15">
        <v>1.8854562737642969E-2</v>
      </c>
      <c r="G108" s="15">
        <v>8.5937647614549112E-2</v>
      </c>
      <c r="H108" s="15">
        <v>2.9745000000000001E-2</v>
      </c>
      <c r="J108" s="1" t="s">
        <v>104</v>
      </c>
      <c r="K108" s="11">
        <f t="shared" si="7"/>
        <v>3.1232055100524625E-3</v>
      </c>
      <c r="L108" s="11">
        <f t="shared" si="8"/>
        <v>-1.4251267196575471E-2</v>
      </c>
      <c r="M108" s="11">
        <f t="shared" si="9"/>
        <v>1.6536013986013162E-3</v>
      </c>
      <c r="N108" s="11">
        <f t="shared" si="10"/>
        <v>-1.330935643564355E-2</v>
      </c>
      <c r="O108" s="11">
        <f t="shared" si="11"/>
        <v>-1.0890437262357031E-2</v>
      </c>
      <c r="P108" s="11">
        <f t="shared" si="12"/>
        <v>5.6192647614549111E-2</v>
      </c>
      <c r="U108" s="3">
        <v>105</v>
      </c>
      <c r="V108" s="4" t="s">
        <v>104</v>
      </c>
      <c r="W108" s="5">
        <v>2.9745000000000001E-2</v>
      </c>
      <c r="X108" s="5">
        <v>2.8551E-2</v>
      </c>
      <c r="Z108" s="7" t="s">
        <v>102</v>
      </c>
      <c r="AA108" s="15">
        <v>0</v>
      </c>
      <c r="AB108" s="15">
        <v>-1.4371999999999999E-2</v>
      </c>
      <c r="AC108" s="15">
        <v>-0.12074977105265368</v>
      </c>
      <c r="AE108" s="7" t="s">
        <v>58</v>
      </c>
      <c r="AF108" s="15">
        <v>4.585753592173647E-4</v>
      </c>
      <c r="AG108" s="15">
        <v>-2.7935424640782636E-2</v>
      </c>
      <c r="AH108" s="15">
        <v>-0.16818437471873954</v>
      </c>
      <c r="AJ108" s="7" t="s">
        <v>97</v>
      </c>
      <c r="AK108" s="15">
        <v>0</v>
      </c>
      <c r="AL108" s="15">
        <v>-0.10306</v>
      </c>
      <c r="AM108" s="15">
        <v>-0.33896298245325523</v>
      </c>
      <c r="AO108" s="7" t="s">
        <v>63</v>
      </c>
      <c r="AP108" s="15">
        <v>9.9009900990099011E-3</v>
      </c>
      <c r="AQ108" s="15">
        <v>-0.1026230099009901</v>
      </c>
      <c r="AR108" s="15">
        <v>-0.32473786271981375</v>
      </c>
      <c r="AT108" s="7" t="s">
        <v>114</v>
      </c>
      <c r="AU108" s="15">
        <v>0</v>
      </c>
      <c r="AV108" s="15">
        <v>-1.4371999999999999E-2</v>
      </c>
      <c r="AW108" s="15">
        <v>-0.12074977105265368</v>
      </c>
      <c r="AY108" s="7" t="s">
        <v>48</v>
      </c>
      <c r="AZ108" s="15">
        <v>0</v>
      </c>
      <c r="BA108" s="15">
        <v>-2.4688000000000002E-2</v>
      </c>
      <c r="BB108" s="15">
        <v>-0.15909574228139481</v>
      </c>
    </row>
    <row r="109" spans="1:54" x14ac:dyDescent="0.2">
      <c r="A109" s="1" t="s">
        <v>105</v>
      </c>
      <c r="B109" s="15">
        <v>0.41774087862993231</v>
      </c>
      <c r="C109" s="15">
        <v>0.20845460103944499</v>
      </c>
      <c r="D109" s="15">
        <v>0.34839160839160832</v>
      </c>
      <c r="E109" s="15">
        <v>0.26970297029702978</v>
      </c>
      <c r="F109" s="15">
        <v>0.2424619771863116</v>
      </c>
      <c r="G109" s="15">
        <v>0.61707132735002668</v>
      </c>
      <c r="H109" s="15">
        <v>0.33163100000000001</v>
      </c>
      <c r="J109" s="1" t="s">
        <v>105</v>
      </c>
      <c r="K109" s="11">
        <f t="shared" si="7"/>
        <v>8.6109878629932302E-2</v>
      </c>
      <c r="L109" s="11">
        <f t="shared" si="8"/>
        <v>-0.12317639896055502</v>
      </c>
      <c r="M109" s="11">
        <f t="shared" si="9"/>
        <v>1.6760608391608312E-2</v>
      </c>
      <c r="N109" s="11">
        <f t="shared" si="10"/>
        <v>-6.1928029702970233E-2</v>
      </c>
      <c r="O109" s="11">
        <f t="shared" si="11"/>
        <v>-8.9169022813688409E-2</v>
      </c>
      <c r="P109" s="11">
        <f t="shared" si="12"/>
        <v>0.28544032735002667</v>
      </c>
      <c r="U109" s="3">
        <v>106</v>
      </c>
      <c r="V109" s="4" t="s">
        <v>105</v>
      </c>
      <c r="W109" s="5">
        <v>0.33163100000000001</v>
      </c>
      <c r="X109" s="5">
        <v>0.188392</v>
      </c>
      <c r="Z109" s="7" t="s">
        <v>114</v>
      </c>
      <c r="AA109" s="15">
        <v>0</v>
      </c>
      <c r="AB109" s="15">
        <v>-1.4371999999999999E-2</v>
      </c>
      <c r="AC109" s="15">
        <v>-0.12074977105265368</v>
      </c>
      <c r="AE109" s="7" t="s">
        <v>103</v>
      </c>
      <c r="AF109" s="15">
        <v>4.585753592173647E-4</v>
      </c>
      <c r="AG109" s="15">
        <v>-2.7935424640782636E-2</v>
      </c>
      <c r="AH109" s="15">
        <v>-0.16818437471873954</v>
      </c>
      <c r="AJ109" s="7" t="s">
        <v>86</v>
      </c>
      <c r="AK109" s="15">
        <v>0</v>
      </c>
      <c r="AL109" s="15">
        <v>-0.113626</v>
      </c>
      <c r="AM109" s="15">
        <v>-0.35802939832684766</v>
      </c>
      <c r="AO109" s="7" t="s">
        <v>86</v>
      </c>
      <c r="AP109" s="15">
        <v>9.9009900990099011E-3</v>
      </c>
      <c r="AQ109" s="15">
        <v>-0.10372500990099011</v>
      </c>
      <c r="AR109" s="15">
        <v>-0.32683191246983789</v>
      </c>
      <c r="AT109" s="7" t="s">
        <v>58</v>
      </c>
      <c r="AU109" s="15">
        <v>2.3764258555133079E-3</v>
      </c>
      <c r="AV109" s="15">
        <v>-2.6017574144486692E-2</v>
      </c>
      <c r="AW109" s="15">
        <v>-0.15663801411491085</v>
      </c>
      <c r="AY109" s="7" t="s">
        <v>61</v>
      </c>
      <c r="AZ109" s="15">
        <v>5.8101086443079833E-2</v>
      </c>
      <c r="BA109" s="15">
        <v>-5.1268913556920162E-2</v>
      </c>
      <c r="BB109" s="15">
        <v>-0.16426552675954043</v>
      </c>
    </row>
    <row r="110" spans="1:54" x14ac:dyDescent="0.2">
      <c r="A110" s="1" t="s">
        <v>106</v>
      </c>
      <c r="B110" s="15">
        <v>0.90363216679075686</v>
      </c>
      <c r="C110" s="15">
        <v>0.78205747477836274</v>
      </c>
      <c r="D110" s="15">
        <v>1.165629370629371</v>
      </c>
      <c r="E110" s="15">
        <v>0.54316831683168343</v>
      </c>
      <c r="F110" s="15">
        <v>0.77240494296577988</v>
      </c>
      <c r="G110" s="15">
        <v>2.848663202645251</v>
      </c>
      <c r="H110" s="15">
        <v>1.044281</v>
      </c>
      <c r="J110" s="1" t="s">
        <v>106</v>
      </c>
      <c r="K110" s="11">
        <f t="shared" si="7"/>
        <v>-0.14064883320924315</v>
      </c>
      <c r="L110" s="11">
        <f t="shared" si="8"/>
        <v>-0.26222352522163728</v>
      </c>
      <c r="M110" s="11">
        <f t="shared" si="9"/>
        <v>0.12134837062937098</v>
      </c>
      <c r="N110" s="11">
        <f t="shared" si="10"/>
        <v>-0.50111268316831659</v>
      </c>
      <c r="O110" s="11">
        <f t="shared" si="11"/>
        <v>-0.27187605703422013</v>
      </c>
      <c r="P110" s="11">
        <f t="shared" si="12"/>
        <v>1.804382202645251</v>
      </c>
      <c r="U110" s="3">
        <v>107</v>
      </c>
      <c r="V110" s="4" t="s">
        <v>106</v>
      </c>
      <c r="W110" s="5">
        <v>1.044281</v>
      </c>
      <c r="X110" s="5">
        <v>0.93687799999999999</v>
      </c>
      <c r="Z110" s="7" t="s">
        <v>81</v>
      </c>
      <c r="AA110" s="15">
        <v>7.1183916604616523E-2</v>
      </c>
      <c r="AB110" s="15">
        <v>-4.1090083395383475E-2</v>
      </c>
      <c r="AC110" s="15">
        <v>-0.13015093992728627</v>
      </c>
      <c r="AE110" s="7" t="s">
        <v>84</v>
      </c>
      <c r="AF110" s="15">
        <v>0</v>
      </c>
      <c r="AG110" s="15">
        <v>-3.9411000000000002E-2</v>
      </c>
      <c r="AH110" s="15">
        <v>-0.20254810459666148</v>
      </c>
      <c r="AJ110" s="7" t="s">
        <v>91</v>
      </c>
      <c r="AK110" s="15">
        <v>0</v>
      </c>
      <c r="AL110" s="15">
        <v>-0.13430800000000001</v>
      </c>
      <c r="AM110" s="15">
        <v>-0.3938743430930931</v>
      </c>
      <c r="AO110" s="7" t="s">
        <v>105</v>
      </c>
      <c r="AP110" s="15">
        <v>0.26970297029702978</v>
      </c>
      <c r="AQ110" s="15">
        <v>-6.1928029702970233E-2</v>
      </c>
      <c r="AR110" s="15">
        <v>-0.32871899923017023</v>
      </c>
      <c r="AT110" s="7" t="s">
        <v>103</v>
      </c>
      <c r="AU110" s="15">
        <v>2.3764258555133079E-3</v>
      </c>
      <c r="AV110" s="15">
        <v>-2.6017574144486692E-2</v>
      </c>
      <c r="AW110" s="15">
        <v>-0.15663801411491085</v>
      </c>
      <c r="AY110" s="7" t="s">
        <v>47</v>
      </c>
      <c r="AZ110" s="15">
        <v>2.881435994331601E-2</v>
      </c>
      <c r="BA110" s="15">
        <v>-4.3497640056683995E-2</v>
      </c>
      <c r="BB110" s="15">
        <v>-0.16793807210796491</v>
      </c>
    </row>
    <row r="111" spans="1:54" x14ac:dyDescent="0.2">
      <c r="A111" s="1" t="s">
        <v>107</v>
      </c>
      <c r="B111" s="15">
        <v>0.42204020848845869</v>
      </c>
      <c r="C111" s="15">
        <v>0.4365637419749312</v>
      </c>
      <c r="D111" s="15">
        <v>0.39860139860139859</v>
      </c>
      <c r="E111" s="15">
        <v>0.34653465346534651</v>
      </c>
      <c r="F111" s="15">
        <v>0.45365969581749049</v>
      </c>
      <c r="G111" s="15">
        <v>0.47000472366556451</v>
      </c>
      <c r="H111" s="15">
        <v>0.43782900000000002</v>
      </c>
      <c r="J111" s="1" t="s">
        <v>107</v>
      </c>
      <c r="K111" s="11">
        <f t="shared" si="7"/>
        <v>-1.5788791511541334E-2</v>
      </c>
      <c r="L111" s="11">
        <f t="shared" si="8"/>
        <v>-1.2652580250688272E-3</v>
      </c>
      <c r="M111" s="11">
        <f t="shared" si="9"/>
        <v>-3.922760139860143E-2</v>
      </c>
      <c r="N111" s="11">
        <f t="shared" si="10"/>
        <v>-9.1294346534653514E-2</v>
      </c>
      <c r="O111" s="11">
        <f t="shared" si="11"/>
        <v>1.583069581749047E-2</v>
      </c>
      <c r="P111" s="11">
        <f t="shared" si="12"/>
        <v>3.2175723665564482E-2</v>
      </c>
      <c r="U111" s="3">
        <v>108</v>
      </c>
      <c r="V111" s="4" t="s">
        <v>107</v>
      </c>
      <c r="W111" s="5">
        <v>0.43782900000000002</v>
      </c>
      <c r="X111" s="5">
        <v>0.49613200000000002</v>
      </c>
      <c r="Z111" s="7" t="s">
        <v>56</v>
      </c>
      <c r="AA111" s="15">
        <v>1.2658227848101271E-2</v>
      </c>
      <c r="AB111" s="15">
        <v>-2.4799772151898727E-2</v>
      </c>
      <c r="AC111" s="15">
        <v>-0.13060347867614636</v>
      </c>
      <c r="AE111" s="7" t="s">
        <v>9</v>
      </c>
      <c r="AF111" s="15">
        <v>0.38902476306939782</v>
      </c>
      <c r="AG111" s="15">
        <v>-0.1116012369306022</v>
      </c>
      <c r="AH111" s="15">
        <v>-0.22319711713039325</v>
      </c>
      <c r="AJ111" s="7" t="s">
        <v>94</v>
      </c>
      <c r="AK111" s="15">
        <v>0</v>
      </c>
      <c r="AL111" s="15">
        <v>-0.24838499999999999</v>
      </c>
      <c r="AM111" s="15">
        <v>-0.57484950947378655</v>
      </c>
      <c r="AO111" s="7" t="s">
        <v>44</v>
      </c>
      <c r="AP111" s="15">
        <v>0.1089108910891089</v>
      </c>
      <c r="AQ111" s="15">
        <v>-0.14673510891089109</v>
      </c>
      <c r="AR111" s="15">
        <v>-0.3363671161435719</v>
      </c>
      <c r="AT111" s="7" t="s">
        <v>75</v>
      </c>
      <c r="AU111" s="15">
        <v>5.7034220532319387E-2</v>
      </c>
      <c r="AV111" s="15">
        <v>-4.928077946768062E-2</v>
      </c>
      <c r="AW111" s="15">
        <v>-0.15987380118502184</v>
      </c>
      <c r="AY111" s="7" t="s">
        <v>63</v>
      </c>
      <c r="AZ111" s="15">
        <v>5.8101086443079833E-2</v>
      </c>
      <c r="BA111" s="15">
        <v>-5.4422913556920166E-2</v>
      </c>
      <c r="BB111" s="15">
        <v>-0.17221460029783164</v>
      </c>
    </row>
    <row r="112" spans="1:54" x14ac:dyDescent="0.2">
      <c r="A112" s="1" t="s">
        <v>108</v>
      </c>
      <c r="B112" s="15">
        <v>4.3186895011169027E-2</v>
      </c>
      <c r="C112" s="15">
        <v>6.5270559461938243E-2</v>
      </c>
      <c r="D112" s="15">
        <v>4.8951048951048952E-2</v>
      </c>
      <c r="E112" s="15">
        <v>0.65346534653465349</v>
      </c>
      <c r="F112" s="15">
        <v>6.5351711026615966E-2</v>
      </c>
      <c r="G112" s="15">
        <v>0.1190363722248465</v>
      </c>
      <c r="H112" s="15">
        <v>6.6303000000000001E-2</v>
      </c>
      <c r="J112" s="1" t="s">
        <v>108</v>
      </c>
      <c r="K112" s="11">
        <f t="shared" si="7"/>
        <v>-2.3116104988830974E-2</v>
      </c>
      <c r="L112" s="11">
        <f t="shared" si="8"/>
        <v>-1.0324405380617574E-3</v>
      </c>
      <c r="M112" s="11">
        <f t="shared" si="9"/>
        <v>-1.7351951048951049E-2</v>
      </c>
      <c r="N112" s="11">
        <f t="shared" si="10"/>
        <v>0.58716234653465349</v>
      </c>
      <c r="O112" s="11">
        <f t="shared" si="11"/>
        <v>-9.5128897338403462E-4</v>
      </c>
      <c r="P112" s="11">
        <f t="shared" si="12"/>
        <v>5.2733372224846503E-2</v>
      </c>
      <c r="U112" s="3">
        <v>109</v>
      </c>
      <c r="V112" s="4" t="s">
        <v>108</v>
      </c>
      <c r="W112" s="5">
        <v>6.6303000000000001E-2</v>
      </c>
      <c r="X112" s="5">
        <v>0.24881700000000001</v>
      </c>
      <c r="Z112" s="7" t="s">
        <v>54</v>
      </c>
      <c r="AA112" s="15">
        <v>5.5696202531645568E-2</v>
      </c>
      <c r="AB112" s="15">
        <v>-4.0602797468354428E-2</v>
      </c>
      <c r="AC112" s="15">
        <v>-0.13763240263298551</v>
      </c>
      <c r="AE112" s="7" t="s">
        <v>60</v>
      </c>
      <c r="AF112" s="15">
        <v>0.38902476306939782</v>
      </c>
      <c r="AG112" s="15">
        <v>-0.1116012369306022</v>
      </c>
      <c r="AH112" s="15">
        <v>-0.22319711713039325</v>
      </c>
      <c r="AJ112" s="7" t="s">
        <v>90</v>
      </c>
      <c r="AK112" s="15">
        <v>0</v>
      </c>
      <c r="AL112" s="15">
        <v>-0.26120500000000002</v>
      </c>
      <c r="AM112" s="15">
        <v>-0.59459096475772932</v>
      </c>
      <c r="AO112" s="7" t="s">
        <v>59</v>
      </c>
      <c r="AP112" s="15">
        <v>0.1386138613861386</v>
      </c>
      <c r="AQ112" s="15">
        <v>-0.16400513861386143</v>
      </c>
      <c r="AR112" s="15">
        <v>-0.35699622904913864</v>
      </c>
      <c r="AT112" s="7" t="s">
        <v>76</v>
      </c>
      <c r="AU112" s="15">
        <v>0</v>
      </c>
      <c r="AV112" s="15">
        <v>-5.9943000000000003E-2</v>
      </c>
      <c r="AW112" s="15">
        <v>-0.25251172136637645</v>
      </c>
      <c r="AY112" s="7" t="s">
        <v>43</v>
      </c>
      <c r="AZ112" s="15">
        <v>0</v>
      </c>
      <c r="BA112" s="15">
        <v>-3.0147E-2</v>
      </c>
      <c r="BB112" s="15">
        <v>-0.17630340068423053</v>
      </c>
    </row>
    <row r="113" spans="1:54" x14ac:dyDescent="0.2">
      <c r="A113" s="1" t="s">
        <v>109</v>
      </c>
      <c r="B113" s="15">
        <v>2.3678332092330601E-2</v>
      </c>
      <c r="C113" s="15">
        <v>2.4304494038520329E-2</v>
      </c>
      <c r="D113" s="15">
        <v>2.4475524475524479E-2</v>
      </c>
      <c r="E113" s="15">
        <v>0.1386138613861386</v>
      </c>
      <c r="F113" s="15">
        <v>2.447718631178707E-2</v>
      </c>
      <c r="G113" s="15">
        <v>3.920642418516769E-2</v>
      </c>
      <c r="H113" s="15">
        <v>2.6290999999999998E-2</v>
      </c>
      <c r="J113" s="1" t="s">
        <v>109</v>
      </c>
      <c r="K113" s="11">
        <f t="shared" si="7"/>
        <v>-2.612667907669397E-3</v>
      </c>
      <c r="L113" s="11">
        <f t="shared" si="8"/>
        <v>-1.9865059614796697E-3</v>
      </c>
      <c r="M113" s="11">
        <f t="shared" si="9"/>
        <v>-1.815475524475519E-3</v>
      </c>
      <c r="N113" s="11">
        <f t="shared" si="10"/>
        <v>0.1123228613861386</v>
      </c>
      <c r="O113" s="11">
        <f t="shared" si="11"/>
        <v>-1.8138136882129285E-3</v>
      </c>
      <c r="P113" s="11">
        <f t="shared" si="12"/>
        <v>1.2915424185167692E-2</v>
      </c>
      <c r="U113" s="3">
        <v>110</v>
      </c>
      <c r="V113" s="4" t="s">
        <v>109</v>
      </c>
      <c r="W113" s="5">
        <v>2.6290999999999998E-2</v>
      </c>
      <c r="X113" s="5">
        <v>0.16000300000000001</v>
      </c>
      <c r="Z113" s="7" t="s">
        <v>52</v>
      </c>
      <c r="AA113" s="15">
        <v>3.678332092330603E-2</v>
      </c>
      <c r="AB113" s="15">
        <v>-3.8583679076693973E-2</v>
      </c>
      <c r="AC113" s="15">
        <v>-0.14615638938248934</v>
      </c>
      <c r="AE113" s="7" t="s">
        <v>78</v>
      </c>
      <c r="AF113" s="15">
        <v>6.0684805869764602E-2</v>
      </c>
      <c r="AG113" s="15">
        <v>-9.4706194130235399E-2</v>
      </c>
      <c r="AH113" s="15">
        <v>-0.26141279025475839</v>
      </c>
      <c r="AJ113" s="7" t="s">
        <v>96</v>
      </c>
      <c r="AK113" s="15">
        <v>0</v>
      </c>
      <c r="AL113" s="15">
        <v>-0.26225599999999999</v>
      </c>
      <c r="AM113" s="15">
        <v>-0.59620980648916044</v>
      </c>
      <c r="AO113" s="7" t="s">
        <v>94</v>
      </c>
      <c r="AP113" s="15">
        <v>6.9306930693069313E-2</v>
      </c>
      <c r="AQ113" s="15">
        <v>-0.17907806930693068</v>
      </c>
      <c r="AR113" s="15">
        <v>-0.41444910239588484</v>
      </c>
      <c r="AT113" s="7" t="s">
        <v>77</v>
      </c>
      <c r="AU113" s="15">
        <v>2.3764258555133078E-2</v>
      </c>
      <c r="AV113" s="15">
        <v>-8.204974144486693E-2</v>
      </c>
      <c r="AW113" s="15">
        <v>-0.26673561214428448</v>
      </c>
      <c r="AY113" s="7" t="s">
        <v>54</v>
      </c>
      <c r="AZ113" s="15">
        <v>3.3065658951346243E-2</v>
      </c>
      <c r="BA113" s="15">
        <v>-6.3233341048653746E-2</v>
      </c>
      <c r="BB113" s="15">
        <v>-0.21434376933806679</v>
      </c>
    </row>
    <row r="114" spans="1:54" x14ac:dyDescent="0.2">
      <c r="A114" s="1" t="s">
        <v>110</v>
      </c>
      <c r="B114" s="15">
        <v>0</v>
      </c>
      <c r="C114" s="15">
        <v>0</v>
      </c>
      <c r="D114" s="15">
        <v>0</v>
      </c>
      <c r="E114" s="15">
        <v>0.63366336633663367</v>
      </c>
      <c r="F114" s="15">
        <v>0</v>
      </c>
      <c r="G114" s="15">
        <v>0</v>
      </c>
      <c r="H114" s="15">
        <v>3.2049999999999999E-3</v>
      </c>
      <c r="J114" s="1" t="s">
        <v>110</v>
      </c>
      <c r="K114" s="11">
        <f t="shared" si="7"/>
        <v>-3.2049999999999999E-3</v>
      </c>
      <c r="L114" s="11">
        <f t="shared" si="8"/>
        <v>-3.2049999999999999E-3</v>
      </c>
      <c r="M114" s="11">
        <f t="shared" si="9"/>
        <v>-3.2049999999999999E-3</v>
      </c>
      <c r="N114" s="11">
        <f t="shared" si="10"/>
        <v>0.63045836633663366</v>
      </c>
      <c r="O114" s="11">
        <f t="shared" si="11"/>
        <v>-3.2049999999999999E-3</v>
      </c>
      <c r="P114" s="11">
        <f t="shared" si="12"/>
        <v>-3.2049999999999999E-3</v>
      </c>
      <c r="U114" s="3">
        <v>111</v>
      </c>
      <c r="V114" s="4" t="s">
        <v>110</v>
      </c>
      <c r="W114" s="5">
        <v>3.2049999999999999E-3</v>
      </c>
      <c r="X114" s="5">
        <v>5.6522999999999997E-2</v>
      </c>
      <c r="Z114" s="7" t="s">
        <v>106</v>
      </c>
      <c r="AA114" s="15">
        <v>0.90363216679075686</v>
      </c>
      <c r="AB114" s="15">
        <v>-0.14064883320924315</v>
      </c>
      <c r="AC114" s="15">
        <v>-0.15012502503980577</v>
      </c>
      <c r="AE114" s="7" t="s">
        <v>106</v>
      </c>
      <c r="AF114" s="15">
        <v>0.78205747477836274</v>
      </c>
      <c r="AG114" s="15">
        <v>-0.26222352522163728</v>
      </c>
      <c r="AH114" s="15">
        <v>-0.27989079178039966</v>
      </c>
      <c r="AJ114" s="7" t="s">
        <v>98</v>
      </c>
      <c r="AK114" s="15">
        <v>0</v>
      </c>
      <c r="AL114" s="15">
        <v>-0.35239599999999999</v>
      </c>
      <c r="AM114" s="15">
        <v>-0.73764833200412783</v>
      </c>
      <c r="AO114" s="7" t="s">
        <v>72</v>
      </c>
      <c r="AP114" s="15">
        <v>2.3663366336633662</v>
      </c>
      <c r="AQ114" s="15">
        <v>-0.75880736633663393</v>
      </c>
      <c r="AR114" s="15">
        <v>-0.44282328402486387</v>
      </c>
      <c r="AT114" s="7" t="s">
        <v>106</v>
      </c>
      <c r="AU114" s="15">
        <v>0.77240494296577988</v>
      </c>
      <c r="AV114" s="15">
        <v>-0.27187605703422013</v>
      </c>
      <c r="AW114" s="15">
        <v>-0.29019366132433477</v>
      </c>
      <c r="AY114" s="7" t="s">
        <v>41</v>
      </c>
      <c r="AZ114" s="15">
        <v>6.4241851676901274E-2</v>
      </c>
      <c r="BA114" s="15">
        <v>-8.2135148323098733E-2</v>
      </c>
      <c r="BB114" s="15">
        <v>-0.2323529697139653</v>
      </c>
    </row>
    <row r="115" spans="1:54" x14ac:dyDescent="0.2">
      <c r="A115" s="1" t="s">
        <v>111</v>
      </c>
      <c r="B115" s="15">
        <v>0</v>
      </c>
      <c r="C115" s="15">
        <v>0</v>
      </c>
      <c r="D115" s="15">
        <v>0</v>
      </c>
      <c r="E115" s="15">
        <v>6.9306930693069313E-2</v>
      </c>
      <c r="F115" s="15">
        <v>0</v>
      </c>
      <c r="G115" s="15">
        <v>0</v>
      </c>
      <c r="H115" s="15">
        <v>3.5100000000000002E-4</v>
      </c>
      <c r="J115" s="1" t="s">
        <v>111</v>
      </c>
      <c r="K115" s="11">
        <f t="shared" si="7"/>
        <v>-3.5100000000000002E-4</v>
      </c>
      <c r="L115" s="11">
        <f t="shared" si="8"/>
        <v>-3.5100000000000002E-4</v>
      </c>
      <c r="M115" s="11">
        <f t="shared" si="9"/>
        <v>-3.5100000000000002E-4</v>
      </c>
      <c r="N115" s="11">
        <f t="shared" si="10"/>
        <v>6.8955930693069309E-2</v>
      </c>
      <c r="O115" s="11">
        <f t="shared" si="11"/>
        <v>-3.5100000000000002E-4</v>
      </c>
      <c r="P115" s="11">
        <f t="shared" si="12"/>
        <v>-3.5100000000000002E-4</v>
      </c>
      <c r="U115" s="3">
        <v>112</v>
      </c>
      <c r="V115" s="4" t="s">
        <v>111</v>
      </c>
      <c r="W115" s="5">
        <v>3.5100000000000002E-4</v>
      </c>
      <c r="X115" s="5">
        <v>1.8720000000000001E-2</v>
      </c>
      <c r="Z115" s="7" t="s">
        <v>84</v>
      </c>
      <c r="AA115" s="15">
        <v>9.3819806403574093E-3</v>
      </c>
      <c r="AB115" s="15">
        <v>-3.0029019359642591E-2</v>
      </c>
      <c r="AC115" s="15">
        <v>-0.15433054107208799</v>
      </c>
      <c r="AE115" s="7" t="s">
        <v>81</v>
      </c>
      <c r="AF115" s="15">
        <v>4.585753592173647E-4</v>
      </c>
      <c r="AG115" s="15">
        <v>-0.11181542464078263</v>
      </c>
      <c r="AH115" s="15">
        <v>-0.35417018932119132</v>
      </c>
      <c r="AJ115" s="7" t="s">
        <v>88</v>
      </c>
      <c r="AK115" s="15">
        <v>0</v>
      </c>
      <c r="AL115" s="15">
        <v>-0.35605199999999998</v>
      </c>
      <c r="AM115" s="15">
        <v>-0.74356730702965268</v>
      </c>
      <c r="AO115" s="7" t="s">
        <v>104</v>
      </c>
      <c r="AP115" s="15">
        <v>1.643564356435645E-2</v>
      </c>
      <c r="AQ115" s="15">
        <v>-1.330935643564355E-2</v>
      </c>
      <c r="AR115" s="15">
        <v>-0.46616078020537111</v>
      </c>
      <c r="AT115" s="7" t="s">
        <v>104</v>
      </c>
      <c r="AU115" s="15">
        <v>1.8854562737642969E-2</v>
      </c>
      <c r="AV115" s="15">
        <v>-1.0890437262357031E-2</v>
      </c>
      <c r="AW115" s="15">
        <v>-0.38143803237564466</v>
      </c>
      <c r="AY115" s="7" t="s">
        <v>42</v>
      </c>
      <c r="AZ115" s="15">
        <v>1.3226263580538499E-2</v>
      </c>
      <c r="BA115" s="15">
        <v>-7.2856736419461512E-2</v>
      </c>
      <c r="BB115" s="15">
        <v>-0.25974436679380486</v>
      </c>
    </row>
    <row r="116" spans="1:54" x14ac:dyDescent="0.2">
      <c r="A116" s="1" t="s">
        <v>112</v>
      </c>
      <c r="B116" s="15">
        <v>0</v>
      </c>
      <c r="C116" s="15">
        <v>0</v>
      </c>
      <c r="D116" s="15">
        <v>3.4965034965034969E-3</v>
      </c>
      <c r="E116" s="15">
        <v>1</v>
      </c>
      <c r="F116" s="15">
        <v>0</v>
      </c>
      <c r="G116" s="15">
        <v>0</v>
      </c>
      <c r="H116" s="15">
        <v>5.1079999999999997E-3</v>
      </c>
      <c r="J116" s="1" t="s">
        <v>112</v>
      </c>
      <c r="K116" s="11">
        <f t="shared" si="7"/>
        <v>-5.1079999999999997E-3</v>
      </c>
      <c r="L116" s="11">
        <f t="shared" si="8"/>
        <v>-5.1079999999999997E-3</v>
      </c>
      <c r="M116" s="11">
        <f t="shared" si="9"/>
        <v>-1.6114965034965028E-3</v>
      </c>
      <c r="N116" s="11">
        <f t="shared" si="10"/>
        <v>0.994892</v>
      </c>
      <c r="O116" s="11">
        <f t="shared" si="11"/>
        <v>-5.1079999999999997E-3</v>
      </c>
      <c r="P116" s="11">
        <f t="shared" si="12"/>
        <v>-5.1079999999999997E-3</v>
      </c>
      <c r="U116" s="3">
        <v>113</v>
      </c>
      <c r="V116" s="4" t="s">
        <v>112</v>
      </c>
      <c r="W116" s="5">
        <v>5.1079999999999997E-3</v>
      </c>
      <c r="X116" s="5">
        <v>7.1289000000000005E-2</v>
      </c>
      <c r="Z116" s="7" t="s">
        <v>72</v>
      </c>
      <c r="AA116" s="15">
        <v>2.7658972449739392</v>
      </c>
      <c r="AB116" s="15">
        <v>-0.35924675502606096</v>
      </c>
      <c r="AC116" s="15">
        <v>-0.20964850223309678</v>
      </c>
      <c r="AE116" s="7" t="s">
        <v>104</v>
      </c>
      <c r="AF116" s="15">
        <v>1.549373280342453E-2</v>
      </c>
      <c r="AG116" s="15">
        <v>-1.4251267196575471E-2</v>
      </c>
      <c r="AH116" s="15">
        <v>-0.49915124502033104</v>
      </c>
      <c r="AJ116" s="7" t="s">
        <v>99</v>
      </c>
      <c r="AK116" s="15">
        <v>0</v>
      </c>
      <c r="AL116" s="15">
        <v>-0.460063</v>
      </c>
      <c r="AM116" s="15">
        <v>-0.92305207507799725</v>
      </c>
      <c r="AO116" s="7" t="s">
        <v>51</v>
      </c>
      <c r="AP116" s="15">
        <v>0</v>
      </c>
      <c r="AQ116" s="15">
        <v>-0.179478</v>
      </c>
      <c r="AR116" s="15">
        <v>-0.4676804894700361</v>
      </c>
      <c r="AT116" s="7" t="s">
        <v>74</v>
      </c>
      <c r="AU116" s="15">
        <v>0</v>
      </c>
      <c r="AV116" s="15">
        <v>-0.160248</v>
      </c>
      <c r="AW116" s="15">
        <v>-0.43682754296773846</v>
      </c>
      <c r="AY116" s="7" t="s">
        <v>71</v>
      </c>
      <c r="AZ116" s="15">
        <v>0.73925366084081245</v>
      </c>
      <c r="BA116" s="15">
        <v>-0.24927833915918751</v>
      </c>
      <c r="BB116" s="15">
        <v>-0.30728972204590083</v>
      </c>
    </row>
    <row r="117" spans="1:54" x14ac:dyDescent="0.2">
      <c r="A117" s="1" t="s">
        <v>113</v>
      </c>
      <c r="B117" s="15">
        <v>0</v>
      </c>
      <c r="C117" s="15">
        <v>0</v>
      </c>
      <c r="D117" s="15">
        <v>3.4965034965034969E-3</v>
      </c>
      <c r="E117" s="15">
        <v>1.5148514851485151</v>
      </c>
      <c r="F117" s="15">
        <v>0</v>
      </c>
      <c r="G117" s="15">
        <v>0</v>
      </c>
      <c r="H117" s="15">
        <v>7.7120000000000001E-3</v>
      </c>
      <c r="J117" s="1" t="s">
        <v>113</v>
      </c>
      <c r="K117" s="11">
        <f t="shared" si="7"/>
        <v>-7.7120000000000001E-3</v>
      </c>
      <c r="L117" s="11">
        <f t="shared" si="8"/>
        <v>-7.7120000000000001E-3</v>
      </c>
      <c r="M117" s="11">
        <f t="shared" si="9"/>
        <v>-4.2154965034965032E-3</v>
      </c>
      <c r="N117" s="11">
        <f t="shared" si="10"/>
        <v>1.5071394851485151</v>
      </c>
      <c r="O117" s="11">
        <f t="shared" si="11"/>
        <v>-7.7120000000000001E-3</v>
      </c>
      <c r="P117" s="11">
        <f t="shared" si="12"/>
        <v>-7.7120000000000001E-3</v>
      </c>
      <c r="U117" s="3">
        <v>114</v>
      </c>
      <c r="V117" s="4" t="s">
        <v>113</v>
      </c>
      <c r="W117" s="5">
        <v>7.7120000000000001E-3</v>
      </c>
      <c r="X117" s="5">
        <v>0.122738</v>
      </c>
      <c r="Z117" s="7" t="s">
        <v>59</v>
      </c>
      <c r="AA117" s="15">
        <v>0.15770662695457929</v>
      </c>
      <c r="AB117" s="15">
        <v>-0.14491237304542073</v>
      </c>
      <c r="AC117" s="15">
        <v>-0.31543627935694962</v>
      </c>
      <c r="AE117" s="7" t="s">
        <v>72</v>
      </c>
      <c r="AF117" s="15">
        <v>2.1786915316417002</v>
      </c>
      <c r="AG117" s="15">
        <v>-0.94645246835829999</v>
      </c>
      <c r="AH117" s="15">
        <v>-0.55232883707395153</v>
      </c>
      <c r="AJ117" s="7" t="s">
        <v>95</v>
      </c>
      <c r="AK117" s="15">
        <v>0</v>
      </c>
      <c r="AL117" s="15">
        <v>-0.47498600000000002</v>
      </c>
      <c r="AM117" s="15">
        <v>-0.95113999991990172</v>
      </c>
      <c r="AO117" s="7" t="s">
        <v>106</v>
      </c>
      <c r="AP117" s="15">
        <v>0.54316831683168343</v>
      </c>
      <c r="AQ117" s="15">
        <v>-0.50111268316831659</v>
      </c>
      <c r="AR117" s="15">
        <v>-0.53487506715742772</v>
      </c>
      <c r="AT117" s="7" t="s">
        <v>105</v>
      </c>
      <c r="AU117" s="15">
        <v>0.2424619771863116</v>
      </c>
      <c r="AV117" s="15">
        <v>-8.9169022813688409E-2</v>
      </c>
      <c r="AW117" s="15">
        <v>-0.47331639779655404</v>
      </c>
      <c r="AY117" s="7" t="s">
        <v>50</v>
      </c>
      <c r="AZ117" s="15">
        <v>0.17241379310344829</v>
      </c>
      <c r="BA117" s="15">
        <v>-0.21438620689655169</v>
      </c>
      <c r="BB117" s="15">
        <v>-0.44019187131885718</v>
      </c>
    </row>
    <row r="118" spans="1:54" x14ac:dyDescent="0.2">
      <c r="A118" s="1" t="s">
        <v>114</v>
      </c>
      <c r="B118" s="15">
        <v>0</v>
      </c>
      <c r="C118" s="15">
        <v>0</v>
      </c>
      <c r="D118" s="15">
        <v>1</v>
      </c>
      <c r="E118" s="15">
        <v>9.9009900990099011E-3</v>
      </c>
      <c r="F118" s="15">
        <v>0</v>
      </c>
      <c r="G118" s="15">
        <v>0</v>
      </c>
      <c r="H118" s="15">
        <v>1.4371999999999999E-2</v>
      </c>
      <c r="J118" s="1" t="s">
        <v>114</v>
      </c>
      <c r="K118" s="11">
        <f t="shared" si="7"/>
        <v>-1.4371999999999999E-2</v>
      </c>
      <c r="L118" s="11">
        <f t="shared" si="8"/>
        <v>-1.4371999999999999E-2</v>
      </c>
      <c r="M118" s="11">
        <f t="shared" si="9"/>
        <v>0.98562799999999995</v>
      </c>
      <c r="N118" s="11">
        <f t="shared" si="10"/>
        <v>-4.4710099009900982E-3</v>
      </c>
      <c r="O118" s="11">
        <f t="shared" si="11"/>
        <v>-1.4371999999999999E-2</v>
      </c>
      <c r="P118" s="11">
        <f t="shared" si="12"/>
        <v>-1.4371999999999999E-2</v>
      </c>
      <c r="U118" s="3">
        <v>115</v>
      </c>
      <c r="V118" s="4" t="s">
        <v>114</v>
      </c>
      <c r="W118" s="5">
        <v>1.4371999999999999E-2</v>
      </c>
      <c r="X118" s="5">
        <v>0.119023</v>
      </c>
      <c r="Z118" s="7" t="s">
        <v>71</v>
      </c>
      <c r="AA118" s="15">
        <v>0.2287416232315711</v>
      </c>
      <c r="AB118" s="15">
        <v>-0.75979037676842887</v>
      </c>
      <c r="AC118" s="15">
        <v>-0.93660674440399205</v>
      </c>
      <c r="AE118" s="7" t="s">
        <v>105</v>
      </c>
      <c r="AF118" s="15">
        <v>0.20845460103944499</v>
      </c>
      <c r="AG118" s="15">
        <v>-0.12317639896055502</v>
      </c>
      <c r="AH118" s="15">
        <v>-0.65383030574841294</v>
      </c>
      <c r="AJ118" s="7" t="s">
        <v>93</v>
      </c>
      <c r="AK118" s="15">
        <v>0</v>
      </c>
      <c r="AL118" s="15">
        <v>-87.401196999999996</v>
      </c>
      <c r="AM118" s="15">
        <v>-7.1395427389720902</v>
      </c>
      <c r="AO118" s="7" t="s">
        <v>98</v>
      </c>
      <c r="AP118" s="15">
        <v>8.9108910891089105E-2</v>
      </c>
      <c r="AQ118" s="15">
        <v>-0.26328708910891085</v>
      </c>
      <c r="AR118" s="15">
        <v>-0.55112226619885096</v>
      </c>
      <c r="AT118" s="7" t="s">
        <v>73</v>
      </c>
      <c r="AU118" s="15">
        <v>0</v>
      </c>
      <c r="AV118" s="15">
        <v>-0.19645499999999999</v>
      </c>
      <c r="AW118" s="15">
        <v>-0.49444285045529363</v>
      </c>
      <c r="AY118" s="7" t="s">
        <v>57</v>
      </c>
      <c r="AZ118" s="15">
        <v>0.132262635805385</v>
      </c>
      <c r="BA118" s="15">
        <v>-0.385640364194615</v>
      </c>
      <c r="BB118" s="15">
        <v>-0.77175613016541189</v>
      </c>
    </row>
  </sheetData>
  <sortState xmlns:xlrd2="http://schemas.microsoft.com/office/spreadsheetml/2017/richdata2" ref="AY4:BB118">
    <sortCondition descending="1" ref="BB4:BB118"/>
  </sortState>
  <mergeCells count="2">
    <mergeCell ref="B2:G2"/>
    <mergeCell ref="K2:P2"/>
  </mergeCells>
  <conditionalFormatting sqref="B4:G4 I4">
    <cfRule type="colorScale" priority="953">
      <colorScale>
        <cfvo type="min"/>
        <cfvo type="percentile" val="50"/>
        <cfvo type="max"/>
        <color rgb="FFF8696B"/>
        <color rgb="FFFCFCFF"/>
        <color rgb="FF63BE7B"/>
      </colorScale>
    </cfRule>
  </conditionalFormatting>
  <conditionalFormatting sqref="B5:G5 I5">
    <cfRule type="colorScale" priority="952">
      <colorScale>
        <cfvo type="min"/>
        <cfvo type="percentile" val="50"/>
        <cfvo type="max"/>
        <color rgb="FFF8696B"/>
        <color rgb="FFFCFCFF"/>
        <color rgb="FF63BE7B"/>
      </colorScale>
    </cfRule>
  </conditionalFormatting>
  <conditionalFormatting sqref="B6:G6 I6">
    <cfRule type="colorScale" priority="951">
      <colorScale>
        <cfvo type="min"/>
        <cfvo type="percentile" val="50"/>
        <cfvo type="max"/>
        <color rgb="FFF8696B"/>
        <color rgb="FFFCFCFF"/>
        <color rgb="FF63BE7B"/>
      </colorScale>
    </cfRule>
  </conditionalFormatting>
  <conditionalFormatting sqref="B7:G7 I7">
    <cfRule type="colorScale" priority="950">
      <colorScale>
        <cfvo type="min"/>
        <cfvo type="percentile" val="50"/>
        <cfvo type="max"/>
        <color rgb="FFF8696B"/>
        <color rgb="FFFCFCFF"/>
        <color rgb="FF63BE7B"/>
      </colorScale>
    </cfRule>
  </conditionalFormatting>
  <conditionalFormatting sqref="B8:G8 I8">
    <cfRule type="colorScale" priority="949">
      <colorScale>
        <cfvo type="min"/>
        <cfvo type="percentile" val="50"/>
        <cfvo type="max"/>
        <color rgb="FFF8696B"/>
        <color rgb="FFFCFCFF"/>
        <color rgb="FF63BE7B"/>
      </colorScale>
    </cfRule>
  </conditionalFormatting>
  <conditionalFormatting sqref="B9:G9 I9">
    <cfRule type="colorScale" priority="948">
      <colorScale>
        <cfvo type="min"/>
        <cfvo type="percentile" val="50"/>
        <cfvo type="max"/>
        <color rgb="FFF8696B"/>
        <color rgb="FFFCFCFF"/>
        <color rgb="FF63BE7B"/>
      </colorScale>
    </cfRule>
  </conditionalFormatting>
  <conditionalFormatting sqref="B10:G10 I10">
    <cfRule type="colorScale" priority="947">
      <colorScale>
        <cfvo type="min"/>
        <cfvo type="percentile" val="50"/>
        <cfvo type="max"/>
        <color rgb="FFF8696B"/>
        <color rgb="FFFCFCFF"/>
        <color rgb="FF63BE7B"/>
      </colorScale>
    </cfRule>
  </conditionalFormatting>
  <conditionalFormatting sqref="B11:G11 I11">
    <cfRule type="colorScale" priority="946">
      <colorScale>
        <cfvo type="min"/>
        <cfvo type="percentile" val="50"/>
        <cfvo type="max"/>
        <color rgb="FFF8696B"/>
        <color rgb="FFFCFCFF"/>
        <color rgb="FF63BE7B"/>
      </colorScale>
    </cfRule>
  </conditionalFormatting>
  <conditionalFormatting sqref="B12:G12 I12">
    <cfRule type="colorScale" priority="945">
      <colorScale>
        <cfvo type="min"/>
        <cfvo type="percentile" val="50"/>
        <cfvo type="max"/>
        <color rgb="FFF8696B"/>
        <color rgb="FFFCFCFF"/>
        <color rgb="FF63BE7B"/>
      </colorScale>
    </cfRule>
  </conditionalFormatting>
  <conditionalFormatting sqref="B13:G13 I13">
    <cfRule type="colorScale" priority="944">
      <colorScale>
        <cfvo type="min"/>
        <cfvo type="percentile" val="50"/>
        <cfvo type="max"/>
        <color rgb="FFF8696B"/>
        <color rgb="FFFCFCFF"/>
        <color rgb="FF63BE7B"/>
      </colorScale>
    </cfRule>
  </conditionalFormatting>
  <conditionalFormatting sqref="B14:G14 I14">
    <cfRule type="colorScale" priority="943">
      <colorScale>
        <cfvo type="min"/>
        <cfvo type="percentile" val="50"/>
        <cfvo type="max"/>
        <color rgb="FFF8696B"/>
        <color rgb="FFFCFCFF"/>
        <color rgb="FF63BE7B"/>
      </colorScale>
    </cfRule>
  </conditionalFormatting>
  <conditionalFormatting sqref="B15:G15 I15">
    <cfRule type="colorScale" priority="942">
      <colorScale>
        <cfvo type="min"/>
        <cfvo type="percentile" val="50"/>
        <cfvo type="max"/>
        <color rgb="FFF8696B"/>
        <color rgb="FFFCFCFF"/>
        <color rgb="FF63BE7B"/>
      </colorScale>
    </cfRule>
  </conditionalFormatting>
  <conditionalFormatting sqref="B16:G16 I16">
    <cfRule type="colorScale" priority="941">
      <colorScale>
        <cfvo type="min"/>
        <cfvo type="percentile" val="50"/>
        <cfvo type="max"/>
        <color rgb="FFF8696B"/>
        <color rgb="FFFCFCFF"/>
        <color rgb="FF63BE7B"/>
      </colorScale>
    </cfRule>
  </conditionalFormatting>
  <conditionalFormatting sqref="B17:G17 I17">
    <cfRule type="colorScale" priority="940">
      <colorScale>
        <cfvo type="min"/>
        <cfvo type="percentile" val="50"/>
        <cfvo type="max"/>
        <color rgb="FFF8696B"/>
        <color rgb="FFFCFCFF"/>
        <color rgb="FF63BE7B"/>
      </colorScale>
    </cfRule>
  </conditionalFormatting>
  <conditionalFormatting sqref="B18:G18 I18">
    <cfRule type="colorScale" priority="939">
      <colorScale>
        <cfvo type="min"/>
        <cfvo type="percentile" val="50"/>
        <cfvo type="max"/>
        <color rgb="FFF8696B"/>
        <color rgb="FFFCFCFF"/>
        <color rgb="FF63BE7B"/>
      </colorScale>
    </cfRule>
  </conditionalFormatting>
  <conditionalFormatting sqref="B19:G19 I19">
    <cfRule type="colorScale" priority="938">
      <colorScale>
        <cfvo type="min"/>
        <cfvo type="percentile" val="50"/>
        <cfvo type="max"/>
        <color rgb="FFF8696B"/>
        <color rgb="FFFCFCFF"/>
        <color rgb="FF63BE7B"/>
      </colorScale>
    </cfRule>
  </conditionalFormatting>
  <conditionalFormatting sqref="B20:G20 I20">
    <cfRule type="colorScale" priority="937">
      <colorScale>
        <cfvo type="min"/>
        <cfvo type="percentile" val="50"/>
        <cfvo type="max"/>
        <color rgb="FFF8696B"/>
        <color rgb="FFFCFCFF"/>
        <color rgb="FF63BE7B"/>
      </colorScale>
    </cfRule>
  </conditionalFormatting>
  <conditionalFormatting sqref="B21:G21 I21">
    <cfRule type="colorScale" priority="936">
      <colorScale>
        <cfvo type="min"/>
        <cfvo type="percentile" val="50"/>
        <cfvo type="max"/>
        <color rgb="FFF8696B"/>
        <color rgb="FFFCFCFF"/>
        <color rgb="FF63BE7B"/>
      </colorScale>
    </cfRule>
  </conditionalFormatting>
  <conditionalFormatting sqref="B22:G22 I22">
    <cfRule type="colorScale" priority="935">
      <colorScale>
        <cfvo type="min"/>
        <cfvo type="percentile" val="50"/>
        <cfvo type="max"/>
        <color rgb="FFF8696B"/>
        <color rgb="FFFCFCFF"/>
        <color rgb="FF63BE7B"/>
      </colorScale>
    </cfRule>
  </conditionalFormatting>
  <conditionalFormatting sqref="B23:G23 I23">
    <cfRule type="colorScale" priority="934">
      <colorScale>
        <cfvo type="min"/>
        <cfvo type="percentile" val="50"/>
        <cfvo type="max"/>
        <color rgb="FFF8696B"/>
        <color rgb="FFFCFCFF"/>
        <color rgb="FF63BE7B"/>
      </colorScale>
    </cfRule>
  </conditionalFormatting>
  <conditionalFormatting sqref="B24:G24 I24">
    <cfRule type="colorScale" priority="933">
      <colorScale>
        <cfvo type="min"/>
        <cfvo type="percentile" val="50"/>
        <cfvo type="max"/>
        <color rgb="FFF8696B"/>
        <color rgb="FFFCFCFF"/>
        <color rgb="FF63BE7B"/>
      </colorScale>
    </cfRule>
  </conditionalFormatting>
  <conditionalFormatting sqref="B25:G25 I25">
    <cfRule type="colorScale" priority="932">
      <colorScale>
        <cfvo type="min"/>
        <cfvo type="percentile" val="50"/>
        <cfvo type="max"/>
        <color rgb="FFF8696B"/>
        <color rgb="FFFCFCFF"/>
        <color rgb="FF63BE7B"/>
      </colorScale>
    </cfRule>
  </conditionalFormatting>
  <conditionalFormatting sqref="B26:G26 I26">
    <cfRule type="colorScale" priority="931">
      <colorScale>
        <cfvo type="min"/>
        <cfvo type="percentile" val="50"/>
        <cfvo type="max"/>
        <color rgb="FFF8696B"/>
        <color rgb="FFFCFCFF"/>
        <color rgb="FF63BE7B"/>
      </colorScale>
    </cfRule>
  </conditionalFormatting>
  <conditionalFormatting sqref="B27:G27 I27">
    <cfRule type="colorScale" priority="930">
      <colorScale>
        <cfvo type="min"/>
        <cfvo type="percentile" val="50"/>
        <cfvo type="max"/>
        <color rgb="FFF8696B"/>
        <color rgb="FFFCFCFF"/>
        <color rgb="FF63BE7B"/>
      </colorScale>
    </cfRule>
  </conditionalFormatting>
  <conditionalFormatting sqref="B28:G28 I28">
    <cfRule type="colorScale" priority="929">
      <colorScale>
        <cfvo type="min"/>
        <cfvo type="percentile" val="50"/>
        <cfvo type="max"/>
        <color rgb="FFF8696B"/>
        <color rgb="FFFCFCFF"/>
        <color rgb="FF63BE7B"/>
      </colorScale>
    </cfRule>
  </conditionalFormatting>
  <conditionalFormatting sqref="B29:G29 I29">
    <cfRule type="colorScale" priority="928">
      <colorScale>
        <cfvo type="min"/>
        <cfvo type="percentile" val="50"/>
        <cfvo type="max"/>
        <color rgb="FFF8696B"/>
        <color rgb="FFFCFCFF"/>
        <color rgb="FF63BE7B"/>
      </colorScale>
    </cfRule>
  </conditionalFormatting>
  <conditionalFormatting sqref="B30:G30 I30">
    <cfRule type="colorScale" priority="927">
      <colorScale>
        <cfvo type="min"/>
        <cfvo type="percentile" val="50"/>
        <cfvo type="max"/>
        <color rgb="FFF8696B"/>
        <color rgb="FFFCFCFF"/>
        <color rgb="FF63BE7B"/>
      </colorScale>
    </cfRule>
  </conditionalFormatting>
  <conditionalFormatting sqref="B31:G31 I31">
    <cfRule type="colorScale" priority="926">
      <colorScale>
        <cfvo type="min"/>
        <cfvo type="percentile" val="50"/>
        <cfvo type="max"/>
        <color rgb="FFF8696B"/>
        <color rgb="FFFCFCFF"/>
        <color rgb="FF63BE7B"/>
      </colorScale>
    </cfRule>
  </conditionalFormatting>
  <conditionalFormatting sqref="B32:G32 I32">
    <cfRule type="colorScale" priority="925">
      <colorScale>
        <cfvo type="min"/>
        <cfvo type="percentile" val="50"/>
        <cfvo type="max"/>
        <color rgb="FFF8696B"/>
        <color rgb="FFFCFCFF"/>
        <color rgb="FF63BE7B"/>
      </colorScale>
    </cfRule>
  </conditionalFormatting>
  <conditionalFormatting sqref="B33:G33 I33">
    <cfRule type="colorScale" priority="924">
      <colorScale>
        <cfvo type="min"/>
        <cfvo type="percentile" val="50"/>
        <cfvo type="max"/>
        <color rgb="FFF8696B"/>
        <color rgb="FFFCFCFF"/>
        <color rgb="FF63BE7B"/>
      </colorScale>
    </cfRule>
  </conditionalFormatting>
  <conditionalFormatting sqref="B34:G34 I34">
    <cfRule type="colorScale" priority="923">
      <colorScale>
        <cfvo type="min"/>
        <cfvo type="percentile" val="50"/>
        <cfvo type="max"/>
        <color rgb="FFF8696B"/>
        <color rgb="FFFCFCFF"/>
        <color rgb="FF63BE7B"/>
      </colorScale>
    </cfRule>
  </conditionalFormatting>
  <conditionalFormatting sqref="B35:G35 I35">
    <cfRule type="colorScale" priority="922">
      <colorScale>
        <cfvo type="min"/>
        <cfvo type="percentile" val="50"/>
        <cfvo type="max"/>
        <color rgb="FFF8696B"/>
        <color rgb="FFFCFCFF"/>
        <color rgb="FF63BE7B"/>
      </colorScale>
    </cfRule>
  </conditionalFormatting>
  <conditionalFormatting sqref="B36:G36 I36">
    <cfRule type="colorScale" priority="921">
      <colorScale>
        <cfvo type="min"/>
        <cfvo type="percentile" val="50"/>
        <cfvo type="max"/>
        <color rgb="FFF8696B"/>
        <color rgb="FFFCFCFF"/>
        <color rgb="FF63BE7B"/>
      </colorScale>
    </cfRule>
  </conditionalFormatting>
  <conditionalFormatting sqref="B37:G37 I37">
    <cfRule type="colorScale" priority="920">
      <colorScale>
        <cfvo type="min"/>
        <cfvo type="percentile" val="50"/>
        <cfvo type="max"/>
        <color rgb="FFF8696B"/>
        <color rgb="FFFCFCFF"/>
        <color rgb="FF63BE7B"/>
      </colorScale>
    </cfRule>
  </conditionalFormatting>
  <conditionalFormatting sqref="B38:G38 I38">
    <cfRule type="colorScale" priority="919">
      <colorScale>
        <cfvo type="min"/>
        <cfvo type="percentile" val="50"/>
        <cfvo type="max"/>
        <color rgb="FFF8696B"/>
        <color rgb="FFFCFCFF"/>
        <color rgb="FF63BE7B"/>
      </colorScale>
    </cfRule>
  </conditionalFormatting>
  <conditionalFormatting sqref="B39:G39 I39">
    <cfRule type="colorScale" priority="918">
      <colorScale>
        <cfvo type="min"/>
        <cfvo type="percentile" val="50"/>
        <cfvo type="max"/>
        <color rgb="FFF8696B"/>
        <color rgb="FFFCFCFF"/>
        <color rgb="FF63BE7B"/>
      </colorScale>
    </cfRule>
  </conditionalFormatting>
  <conditionalFormatting sqref="B40:G40 I40">
    <cfRule type="colorScale" priority="917">
      <colorScale>
        <cfvo type="min"/>
        <cfvo type="percentile" val="50"/>
        <cfvo type="max"/>
        <color rgb="FFF8696B"/>
        <color rgb="FFFCFCFF"/>
        <color rgb="FF63BE7B"/>
      </colorScale>
    </cfRule>
  </conditionalFormatting>
  <conditionalFormatting sqref="B41:G41 I41">
    <cfRule type="colorScale" priority="916">
      <colorScale>
        <cfvo type="min"/>
        <cfvo type="percentile" val="50"/>
        <cfvo type="max"/>
        <color rgb="FFF8696B"/>
        <color rgb="FFFCFCFF"/>
        <color rgb="FF63BE7B"/>
      </colorScale>
    </cfRule>
  </conditionalFormatting>
  <conditionalFormatting sqref="B42:G42 I42">
    <cfRule type="colorScale" priority="915">
      <colorScale>
        <cfvo type="min"/>
        <cfvo type="percentile" val="50"/>
        <cfvo type="max"/>
        <color rgb="FFF8696B"/>
        <color rgb="FFFCFCFF"/>
        <color rgb="FF63BE7B"/>
      </colorScale>
    </cfRule>
  </conditionalFormatting>
  <conditionalFormatting sqref="B43:G43 I43">
    <cfRule type="colorScale" priority="914">
      <colorScale>
        <cfvo type="min"/>
        <cfvo type="percentile" val="50"/>
        <cfvo type="max"/>
        <color rgb="FFF8696B"/>
        <color rgb="FFFCFCFF"/>
        <color rgb="FF63BE7B"/>
      </colorScale>
    </cfRule>
  </conditionalFormatting>
  <conditionalFormatting sqref="B44:G44 I44">
    <cfRule type="colorScale" priority="913">
      <colorScale>
        <cfvo type="min"/>
        <cfvo type="percentile" val="50"/>
        <cfvo type="max"/>
        <color rgb="FFF8696B"/>
        <color rgb="FFFCFCFF"/>
        <color rgb="FF63BE7B"/>
      </colorScale>
    </cfRule>
  </conditionalFormatting>
  <conditionalFormatting sqref="B45:G45 I45">
    <cfRule type="colorScale" priority="912">
      <colorScale>
        <cfvo type="min"/>
        <cfvo type="percentile" val="50"/>
        <cfvo type="max"/>
        <color rgb="FFF8696B"/>
        <color rgb="FFFCFCFF"/>
        <color rgb="FF63BE7B"/>
      </colorScale>
    </cfRule>
  </conditionalFormatting>
  <conditionalFormatting sqref="B46:G46 I46">
    <cfRule type="colorScale" priority="911">
      <colorScale>
        <cfvo type="min"/>
        <cfvo type="percentile" val="50"/>
        <cfvo type="max"/>
        <color rgb="FFF8696B"/>
        <color rgb="FFFCFCFF"/>
        <color rgb="FF63BE7B"/>
      </colorScale>
    </cfRule>
  </conditionalFormatting>
  <conditionalFormatting sqref="B47:G47 I47">
    <cfRule type="colorScale" priority="910">
      <colorScale>
        <cfvo type="min"/>
        <cfvo type="percentile" val="50"/>
        <cfvo type="max"/>
        <color rgb="FFF8696B"/>
        <color rgb="FFFCFCFF"/>
        <color rgb="FF63BE7B"/>
      </colorScale>
    </cfRule>
  </conditionalFormatting>
  <conditionalFormatting sqref="B48:G48 I48">
    <cfRule type="colorScale" priority="909">
      <colorScale>
        <cfvo type="min"/>
        <cfvo type="percentile" val="50"/>
        <cfvo type="max"/>
        <color rgb="FFF8696B"/>
        <color rgb="FFFCFCFF"/>
        <color rgb="FF63BE7B"/>
      </colorScale>
    </cfRule>
  </conditionalFormatting>
  <conditionalFormatting sqref="B49:G49 I49">
    <cfRule type="colorScale" priority="908">
      <colorScale>
        <cfvo type="min"/>
        <cfvo type="percentile" val="50"/>
        <cfvo type="max"/>
        <color rgb="FFF8696B"/>
        <color rgb="FFFCFCFF"/>
        <color rgb="FF63BE7B"/>
      </colorScale>
    </cfRule>
  </conditionalFormatting>
  <conditionalFormatting sqref="B50:G50 I50">
    <cfRule type="colorScale" priority="907">
      <colorScale>
        <cfvo type="min"/>
        <cfvo type="percentile" val="50"/>
        <cfvo type="max"/>
        <color rgb="FFF8696B"/>
        <color rgb="FFFCFCFF"/>
        <color rgb="FF63BE7B"/>
      </colorScale>
    </cfRule>
  </conditionalFormatting>
  <conditionalFormatting sqref="B51:G51 I51">
    <cfRule type="colorScale" priority="906">
      <colorScale>
        <cfvo type="min"/>
        <cfvo type="percentile" val="50"/>
        <cfvo type="max"/>
        <color rgb="FFF8696B"/>
        <color rgb="FFFCFCFF"/>
        <color rgb="FF63BE7B"/>
      </colorScale>
    </cfRule>
  </conditionalFormatting>
  <conditionalFormatting sqref="B52:G52 I52">
    <cfRule type="colorScale" priority="905">
      <colorScale>
        <cfvo type="min"/>
        <cfvo type="percentile" val="50"/>
        <cfvo type="max"/>
        <color rgb="FFF8696B"/>
        <color rgb="FFFCFCFF"/>
        <color rgb="FF63BE7B"/>
      </colorScale>
    </cfRule>
  </conditionalFormatting>
  <conditionalFormatting sqref="B53:G53 I53">
    <cfRule type="colorScale" priority="904">
      <colorScale>
        <cfvo type="min"/>
        <cfvo type="percentile" val="50"/>
        <cfvo type="max"/>
        <color rgb="FFF8696B"/>
        <color rgb="FFFCFCFF"/>
        <color rgb="FF63BE7B"/>
      </colorScale>
    </cfRule>
  </conditionalFormatting>
  <conditionalFormatting sqref="B54:G54 I54">
    <cfRule type="colorScale" priority="903">
      <colorScale>
        <cfvo type="min"/>
        <cfvo type="percentile" val="50"/>
        <cfvo type="max"/>
        <color rgb="FFF8696B"/>
        <color rgb="FFFCFCFF"/>
        <color rgb="FF63BE7B"/>
      </colorScale>
    </cfRule>
  </conditionalFormatting>
  <conditionalFormatting sqref="B55:G55 I55">
    <cfRule type="colorScale" priority="902">
      <colorScale>
        <cfvo type="min"/>
        <cfvo type="percentile" val="50"/>
        <cfvo type="max"/>
        <color rgb="FFF8696B"/>
        <color rgb="FFFCFCFF"/>
        <color rgb="FF63BE7B"/>
      </colorScale>
    </cfRule>
  </conditionalFormatting>
  <conditionalFormatting sqref="B56:G56 I56">
    <cfRule type="colorScale" priority="901">
      <colorScale>
        <cfvo type="min"/>
        <cfvo type="percentile" val="50"/>
        <cfvo type="max"/>
        <color rgb="FFF8696B"/>
        <color rgb="FFFCFCFF"/>
        <color rgb="FF63BE7B"/>
      </colorScale>
    </cfRule>
  </conditionalFormatting>
  <conditionalFormatting sqref="B57:G57 I57">
    <cfRule type="colorScale" priority="900">
      <colorScale>
        <cfvo type="min"/>
        <cfvo type="percentile" val="50"/>
        <cfvo type="max"/>
        <color rgb="FFF8696B"/>
        <color rgb="FFFCFCFF"/>
        <color rgb="FF63BE7B"/>
      </colorScale>
    </cfRule>
  </conditionalFormatting>
  <conditionalFormatting sqref="B58:G58 I58">
    <cfRule type="colorScale" priority="899">
      <colorScale>
        <cfvo type="min"/>
        <cfvo type="percentile" val="50"/>
        <cfvo type="max"/>
        <color rgb="FFF8696B"/>
        <color rgb="FFFCFCFF"/>
        <color rgb="FF63BE7B"/>
      </colorScale>
    </cfRule>
  </conditionalFormatting>
  <conditionalFormatting sqref="B59:G59 I59">
    <cfRule type="colorScale" priority="898">
      <colorScale>
        <cfvo type="min"/>
        <cfvo type="percentile" val="50"/>
        <cfvo type="max"/>
        <color rgb="FFF8696B"/>
        <color rgb="FFFCFCFF"/>
        <color rgb="FF63BE7B"/>
      </colorScale>
    </cfRule>
  </conditionalFormatting>
  <conditionalFormatting sqref="B60:G60 I60">
    <cfRule type="colorScale" priority="897">
      <colorScale>
        <cfvo type="min"/>
        <cfvo type="percentile" val="50"/>
        <cfvo type="max"/>
        <color rgb="FFF8696B"/>
        <color rgb="FFFCFCFF"/>
        <color rgb="FF63BE7B"/>
      </colorScale>
    </cfRule>
  </conditionalFormatting>
  <conditionalFormatting sqref="B61:G61 I61">
    <cfRule type="colorScale" priority="896">
      <colorScale>
        <cfvo type="min"/>
        <cfvo type="percentile" val="50"/>
        <cfvo type="max"/>
        <color rgb="FFF8696B"/>
        <color rgb="FFFCFCFF"/>
        <color rgb="FF63BE7B"/>
      </colorScale>
    </cfRule>
  </conditionalFormatting>
  <conditionalFormatting sqref="B62:G62 I62">
    <cfRule type="colorScale" priority="895">
      <colorScale>
        <cfvo type="min"/>
        <cfvo type="percentile" val="50"/>
        <cfvo type="max"/>
        <color rgb="FFF8696B"/>
        <color rgb="FFFCFCFF"/>
        <color rgb="FF63BE7B"/>
      </colorScale>
    </cfRule>
  </conditionalFormatting>
  <conditionalFormatting sqref="B63:G63 I63">
    <cfRule type="colorScale" priority="894">
      <colorScale>
        <cfvo type="min"/>
        <cfvo type="percentile" val="50"/>
        <cfvo type="max"/>
        <color rgb="FFF8696B"/>
        <color rgb="FFFCFCFF"/>
        <color rgb="FF63BE7B"/>
      </colorScale>
    </cfRule>
  </conditionalFormatting>
  <conditionalFormatting sqref="B64:G64 I64">
    <cfRule type="colorScale" priority="893">
      <colorScale>
        <cfvo type="min"/>
        <cfvo type="percentile" val="50"/>
        <cfvo type="max"/>
        <color rgb="FFF8696B"/>
        <color rgb="FFFCFCFF"/>
        <color rgb="FF63BE7B"/>
      </colorScale>
    </cfRule>
  </conditionalFormatting>
  <conditionalFormatting sqref="B65:G65 I65">
    <cfRule type="colorScale" priority="892">
      <colorScale>
        <cfvo type="min"/>
        <cfvo type="percentile" val="50"/>
        <cfvo type="max"/>
        <color rgb="FFF8696B"/>
        <color rgb="FFFCFCFF"/>
        <color rgb="FF63BE7B"/>
      </colorScale>
    </cfRule>
  </conditionalFormatting>
  <conditionalFormatting sqref="B66:G66 I66">
    <cfRule type="colorScale" priority="891">
      <colorScale>
        <cfvo type="min"/>
        <cfvo type="percentile" val="50"/>
        <cfvo type="max"/>
        <color rgb="FFF8696B"/>
        <color rgb="FFFCFCFF"/>
        <color rgb="FF63BE7B"/>
      </colorScale>
    </cfRule>
  </conditionalFormatting>
  <conditionalFormatting sqref="B67:G67 I67">
    <cfRule type="colorScale" priority="890">
      <colorScale>
        <cfvo type="min"/>
        <cfvo type="percentile" val="50"/>
        <cfvo type="max"/>
        <color rgb="FFF8696B"/>
        <color rgb="FFFCFCFF"/>
        <color rgb="FF63BE7B"/>
      </colorScale>
    </cfRule>
  </conditionalFormatting>
  <conditionalFormatting sqref="B68:G68 I68">
    <cfRule type="colorScale" priority="889">
      <colorScale>
        <cfvo type="min"/>
        <cfvo type="percentile" val="50"/>
        <cfvo type="max"/>
        <color rgb="FFF8696B"/>
        <color rgb="FFFCFCFF"/>
        <color rgb="FF63BE7B"/>
      </colorScale>
    </cfRule>
  </conditionalFormatting>
  <conditionalFormatting sqref="B69:G69 I69">
    <cfRule type="colorScale" priority="888">
      <colorScale>
        <cfvo type="min"/>
        <cfvo type="percentile" val="50"/>
        <cfvo type="max"/>
        <color rgb="FFF8696B"/>
        <color rgb="FFFCFCFF"/>
        <color rgb="FF63BE7B"/>
      </colorScale>
    </cfRule>
  </conditionalFormatting>
  <conditionalFormatting sqref="B70:G70 I70">
    <cfRule type="colorScale" priority="887">
      <colorScale>
        <cfvo type="min"/>
        <cfvo type="percentile" val="50"/>
        <cfvo type="max"/>
        <color rgb="FFF8696B"/>
        <color rgb="FFFCFCFF"/>
        <color rgb="FF63BE7B"/>
      </colorScale>
    </cfRule>
  </conditionalFormatting>
  <conditionalFormatting sqref="B71:G71 I71">
    <cfRule type="colorScale" priority="886">
      <colorScale>
        <cfvo type="min"/>
        <cfvo type="percentile" val="50"/>
        <cfvo type="max"/>
        <color rgb="FFF8696B"/>
        <color rgb="FFFCFCFF"/>
        <color rgb="FF63BE7B"/>
      </colorScale>
    </cfRule>
  </conditionalFormatting>
  <conditionalFormatting sqref="B72:G72 I72">
    <cfRule type="colorScale" priority="885">
      <colorScale>
        <cfvo type="min"/>
        <cfvo type="percentile" val="50"/>
        <cfvo type="max"/>
        <color rgb="FFF8696B"/>
        <color rgb="FFFCFCFF"/>
        <color rgb="FF63BE7B"/>
      </colorScale>
    </cfRule>
  </conditionalFormatting>
  <conditionalFormatting sqref="B73:G73 I73">
    <cfRule type="colorScale" priority="884">
      <colorScale>
        <cfvo type="min"/>
        <cfvo type="percentile" val="50"/>
        <cfvo type="max"/>
        <color rgb="FFF8696B"/>
        <color rgb="FFFCFCFF"/>
        <color rgb="FF63BE7B"/>
      </colorScale>
    </cfRule>
  </conditionalFormatting>
  <conditionalFormatting sqref="B74:G74 I74">
    <cfRule type="colorScale" priority="883">
      <colorScale>
        <cfvo type="min"/>
        <cfvo type="percentile" val="50"/>
        <cfvo type="max"/>
        <color rgb="FFF8696B"/>
        <color rgb="FFFCFCFF"/>
        <color rgb="FF63BE7B"/>
      </colorScale>
    </cfRule>
  </conditionalFormatting>
  <conditionalFormatting sqref="B75:G75 I75">
    <cfRule type="colorScale" priority="882">
      <colorScale>
        <cfvo type="min"/>
        <cfvo type="percentile" val="50"/>
        <cfvo type="max"/>
        <color rgb="FFF8696B"/>
        <color rgb="FFFCFCFF"/>
        <color rgb="FF63BE7B"/>
      </colorScale>
    </cfRule>
  </conditionalFormatting>
  <conditionalFormatting sqref="B76:G76 I76">
    <cfRule type="colorScale" priority="881">
      <colorScale>
        <cfvo type="min"/>
        <cfvo type="percentile" val="50"/>
        <cfvo type="max"/>
        <color rgb="FFF8696B"/>
        <color rgb="FFFCFCFF"/>
        <color rgb="FF63BE7B"/>
      </colorScale>
    </cfRule>
  </conditionalFormatting>
  <conditionalFormatting sqref="B77:G77 I77">
    <cfRule type="colorScale" priority="880">
      <colorScale>
        <cfvo type="min"/>
        <cfvo type="percentile" val="50"/>
        <cfvo type="max"/>
        <color rgb="FFF8696B"/>
        <color rgb="FFFCFCFF"/>
        <color rgb="FF63BE7B"/>
      </colorScale>
    </cfRule>
  </conditionalFormatting>
  <conditionalFormatting sqref="B78:G78 I78">
    <cfRule type="colorScale" priority="879">
      <colorScale>
        <cfvo type="min"/>
        <cfvo type="percentile" val="50"/>
        <cfvo type="max"/>
        <color rgb="FFF8696B"/>
        <color rgb="FFFCFCFF"/>
        <color rgb="FF63BE7B"/>
      </colorScale>
    </cfRule>
  </conditionalFormatting>
  <conditionalFormatting sqref="B79:G79 I79">
    <cfRule type="colorScale" priority="878">
      <colorScale>
        <cfvo type="min"/>
        <cfvo type="percentile" val="50"/>
        <cfvo type="max"/>
        <color rgb="FFF8696B"/>
        <color rgb="FFFCFCFF"/>
        <color rgb="FF63BE7B"/>
      </colorScale>
    </cfRule>
  </conditionalFormatting>
  <conditionalFormatting sqref="B80:G80 I80">
    <cfRule type="colorScale" priority="877">
      <colorScale>
        <cfvo type="min"/>
        <cfvo type="percentile" val="50"/>
        <cfvo type="max"/>
        <color rgb="FFF8696B"/>
        <color rgb="FFFCFCFF"/>
        <color rgb="FF63BE7B"/>
      </colorScale>
    </cfRule>
  </conditionalFormatting>
  <conditionalFormatting sqref="B81:G81 I81">
    <cfRule type="colorScale" priority="876">
      <colorScale>
        <cfvo type="min"/>
        <cfvo type="percentile" val="50"/>
        <cfvo type="max"/>
        <color rgb="FFF8696B"/>
        <color rgb="FFFCFCFF"/>
        <color rgb="FF63BE7B"/>
      </colorScale>
    </cfRule>
  </conditionalFormatting>
  <conditionalFormatting sqref="B82:G82 I82">
    <cfRule type="colorScale" priority="875">
      <colorScale>
        <cfvo type="min"/>
        <cfvo type="percentile" val="50"/>
        <cfvo type="max"/>
        <color rgb="FFF8696B"/>
        <color rgb="FFFCFCFF"/>
        <color rgb="FF63BE7B"/>
      </colorScale>
    </cfRule>
  </conditionalFormatting>
  <conditionalFormatting sqref="B83:G83 I83">
    <cfRule type="colorScale" priority="874">
      <colorScale>
        <cfvo type="min"/>
        <cfvo type="percentile" val="50"/>
        <cfvo type="max"/>
        <color rgb="FFF8696B"/>
        <color rgb="FFFCFCFF"/>
        <color rgb="FF63BE7B"/>
      </colorScale>
    </cfRule>
  </conditionalFormatting>
  <conditionalFormatting sqref="B84:G84 I84">
    <cfRule type="colorScale" priority="873">
      <colorScale>
        <cfvo type="min"/>
        <cfvo type="percentile" val="50"/>
        <cfvo type="max"/>
        <color rgb="FFF8696B"/>
        <color rgb="FFFCFCFF"/>
        <color rgb="FF63BE7B"/>
      </colorScale>
    </cfRule>
  </conditionalFormatting>
  <conditionalFormatting sqref="B85:G85 I85">
    <cfRule type="colorScale" priority="872">
      <colorScale>
        <cfvo type="min"/>
        <cfvo type="percentile" val="50"/>
        <cfvo type="max"/>
        <color rgb="FFF8696B"/>
        <color rgb="FFFCFCFF"/>
        <color rgb="FF63BE7B"/>
      </colorScale>
    </cfRule>
  </conditionalFormatting>
  <conditionalFormatting sqref="B86:G86 I86">
    <cfRule type="colorScale" priority="871">
      <colorScale>
        <cfvo type="min"/>
        <cfvo type="percentile" val="50"/>
        <cfvo type="max"/>
        <color rgb="FFF8696B"/>
        <color rgb="FFFCFCFF"/>
        <color rgb="FF63BE7B"/>
      </colorScale>
    </cfRule>
  </conditionalFormatting>
  <conditionalFormatting sqref="B87:G87 I87">
    <cfRule type="colorScale" priority="870">
      <colorScale>
        <cfvo type="min"/>
        <cfvo type="percentile" val="50"/>
        <cfvo type="max"/>
        <color rgb="FFF8696B"/>
        <color rgb="FFFCFCFF"/>
        <color rgb="FF63BE7B"/>
      </colorScale>
    </cfRule>
  </conditionalFormatting>
  <conditionalFormatting sqref="B88:G88 I88">
    <cfRule type="colorScale" priority="869">
      <colorScale>
        <cfvo type="min"/>
        <cfvo type="percentile" val="50"/>
        <cfvo type="max"/>
        <color rgb="FFF8696B"/>
        <color rgb="FFFCFCFF"/>
        <color rgb="FF63BE7B"/>
      </colorScale>
    </cfRule>
  </conditionalFormatting>
  <conditionalFormatting sqref="B89:G89 I89">
    <cfRule type="colorScale" priority="868">
      <colorScale>
        <cfvo type="min"/>
        <cfvo type="percentile" val="50"/>
        <cfvo type="max"/>
        <color rgb="FFF8696B"/>
        <color rgb="FFFCFCFF"/>
        <color rgb="FF63BE7B"/>
      </colorScale>
    </cfRule>
  </conditionalFormatting>
  <conditionalFormatting sqref="B90:G90 I90">
    <cfRule type="colorScale" priority="867">
      <colorScale>
        <cfvo type="min"/>
        <cfvo type="percentile" val="50"/>
        <cfvo type="max"/>
        <color rgb="FFF8696B"/>
        <color rgb="FFFCFCFF"/>
        <color rgb="FF63BE7B"/>
      </colorScale>
    </cfRule>
  </conditionalFormatting>
  <conditionalFormatting sqref="B91:G91 I91">
    <cfRule type="colorScale" priority="866">
      <colorScale>
        <cfvo type="min"/>
        <cfvo type="percentile" val="50"/>
        <cfvo type="max"/>
        <color rgb="FFF8696B"/>
        <color rgb="FFFCFCFF"/>
        <color rgb="FF63BE7B"/>
      </colorScale>
    </cfRule>
  </conditionalFormatting>
  <conditionalFormatting sqref="B92:G92 I92">
    <cfRule type="colorScale" priority="865">
      <colorScale>
        <cfvo type="min"/>
        <cfvo type="percentile" val="50"/>
        <cfvo type="max"/>
        <color rgb="FFF8696B"/>
        <color rgb="FFFCFCFF"/>
        <color rgb="FF63BE7B"/>
      </colorScale>
    </cfRule>
  </conditionalFormatting>
  <conditionalFormatting sqref="B93:G93 I93">
    <cfRule type="colorScale" priority="864">
      <colorScale>
        <cfvo type="min"/>
        <cfvo type="percentile" val="50"/>
        <cfvo type="max"/>
        <color rgb="FFF8696B"/>
        <color rgb="FFFCFCFF"/>
        <color rgb="FF63BE7B"/>
      </colorScale>
    </cfRule>
  </conditionalFormatting>
  <conditionalFormatting sqref="B94:G94 I94">
    <cfRule type="colorScale" priority="863">
      <colorScale>
        <cfvo type="min"/>
        <cfvo type="percentile" val="50"/>
        <cfvo type="max"/>
        <color rgb="FFF8696B"/>
        <color rgb="FFFCFCFF"/>
        <color rgb="FF63BE7B"/>
      </colorScale>
    </cfRule>
  </conditionalFormatting>
  <conditionalFormatting sqref="B95:G95 I95">
    <cfRule type="colorScale" priority="862">
      <colorScale>
        <cfvo type="min"/>
        <cfvo type="percentile" val="50"/>
        <cfvo type="max"/>
        <color rgb="FFF8696B"/>
        <color rgb="FFFCFCFF"/>
        <color rgb="FF63BE7B"/>
      </colorScale>
    </cfRule>
  </conditionalFormatting>
  <conditionalFormatting sqref="B96:G96 I96">
    <cfRule type="colorScale" priority="861">
      <colorScale>
        <cfvo type="min"/>
        <cfvo type="percentile" val="50"/>
        <cfvo type="max"/>
        <color rgb="FFF8696B"/>
        <color rgb="FFFCFCFF"/>
        <color rgb="FF63BE7B"/>
      </colorScale>
    </cfRule>
  </conditionalFormatting>
  <conditionalFormatting sqref="B97:G97 I97">
    <cfRule type="colorScale" priority="860">
      <colorScale>
        <cfvo type="min"/>
        <cfvo type="percentile" val="50"/>
        <cfvo type="max"/>
        <color rgb="FFF8696B"/>
        <color rgb="FFFCFCFF"/>
        <color rgb="FF63BE7B"/>
      </colorScale>
    </cfRule>
  </conditionalFormatting>
  <conditionalFormatting sqref="B98:G98 I98">
    <cfRule type="colorScale" priority="859">
      <colorScale>
        <cfvo type="min"/>
        <cfvo type="percentile" val="50"/>
        <cfvo type="max"/>
        <color rgb="FFF8696B"/>
        <color rgb="FFFCFCFF"/>
        <color rgb="FF63BE7B"/>
      </colorScale>
    </cfRule>
  </conditionalFormatting>
  <conditionalFormatting sqref="B99:G99 I99">
    <cfRule type="colorScale" priority="858">
      <colorScale>
        <cfvo type="min"/>
        <cfvo type="percentile" val="50"/>
        <cfvo type="max"/>
        <color rgb="FFF8696B"/>
        <color rgb="FFFCFCFF"/>
        <color rgb="FF63BE7B"/>
      </colorScale>
    </cfRule>
  </conditionalFormatting>
  <conditionalFormatting sqref="B100:G100 I100">
    <cfRule type="colorScale" priority="857">
      <colorScale>
        <cfvo type="min"/>
        <cfvo type="percentile" val="50"/>
        <cfvo type="max"/>
        <color rgb="FFF8696B"/>
        <color rgb="FFFCFCFF"/>
        <color rgb="FF63BE7B"/>
      </colorScale>
    </cfRule>
  </conditionalFormatting>
  <conditionalFormatting sqref="B101:G101 I101">
    <cfRule type="colorScale" priority="856">
      <colorScale>
        <cfvo type="min"/>
        <cfvo type="percentile" val="50"/>
        <cfvo type="max"/>
        <color rgb="FFF8696B"/>
        <color rgb="FFFCFCFF"/>
        <color rgb="FF63BE7B"/>
      </colorScale>
    </cfRule>
  </conditionalFormatting>
  <conditionalFormatting sqref="B102:G102 I102">
    <cfRule type="colorScale" priority="855">
      <colorScale>
        <cfvo type="min"/>
        <cfvo type="percentile" val="50"/>
        <cfvo type="max"/>
        <color rgb="FFF8696B"/>
        <color rgb="FFFCFCFF"/>
        <color rgb="FF63BE7B"/>
      </colorScale>
    </cfRule>
  </conditionalFormatting>
  <conditionalFormatting sqref="B103:G103 I103">
    <cfRule type="colorScale" priority="854">
      <colorScale>
        <cfvo type="min"/>
        <cfvo type="percentile" val="50"/>
        <cfvo type="max"/>
        <color rgb="FFF8696B"/>
        <color rgb="FFFCFCFF"/>
        <color rgb="FF63BE7B"/>
      </colorScale>
    </cfRule>
  </conditionalFormatting>
  <conditionalFormatting sqref="B104:G104 I104">
    <cfRule type="colorScale" priority="853">
      <colorScale>
        <cfvo type="min"/>
        <cfvo type="percentile" val="50"/>
        <cfvo type="max"/>
        <color rgb="FFF8696B"/>
        <color rgb="FFFCFCFF"/>
        <color rgb="FF63BE7B"/>
      </colorScale>
    </cfRule>
  </conditionalFormatting>
  <conditionalFormatting sqref="B105:G105 I105">
    <cfRule type="colorScale" priority="852">
      <colorScale>
        <cfvo type="min"/>
        <cfvo type="percentile" val="50"/>
        <cfvo type="max"/>
        <color rgb="FFF8696B"/>
        <color rgb="FFFCFCFF"/>
        <color rgb="FF63BE7B"/>
      </colorScale>
    </cfRule>
  </conditionalFormatting>
  <conditionalFormatting sqref="B106:G106 I106">
    <cfRule type="colorScale" priority="851">
      <colorScale>
        <cfvo type="min"/>
        <cfvo type="percentile" val="50"/>
        <cfvo type="max"/>
        <color rgb="FFF8696B"/>
        <color rgb="FFFCFCFF"/>
        <color rgb="FF63BE7B"/>
      </colorScale>
    </cfRule>
  </conditionalFormatting>
  <conditionalFormatting sqref="B107:G107 I107">
    <cfRule type="colorScale" priority="850">
      <colorScale>
        <cfvo type="min"/>
        <cfvo type="percentile" val="50"/>
        <cfvo type="max"/>
        <color rgb="FFF8696B"/>
        <color rgb="FFFCFCFF"/>
        <color rgb="FF63BE7B"/>
      </colorScale>
    </cfRule>
  </conditionalFormatting>
  <conditionalFormatting sqref="B108:G108 I108">
    <cfRule type="colorScale" priority="849">
      <colorScale>
        <cfvo type="min"/>
        <cfvo type="percentile" val="50"/>
        <cfvo type="max"/>
        <color rgb="FFF8696B"/>
        <color rgb="FFFCFCFF"/>
        <color rgb="FF63BE7B"/>
      </colorScale>
    </cfRule>
  </conditionalFormatting>
  <conditionalFormatting sqref="B109:G109 I109">
    <cfRule type="colorScale" priority="848">
      <colorScale>
        <cfvo type="min"/>
        <cfvo type="percentile" val="50"/>
        <cfvo type="max"/>
        <color rgb="FFF8696B"/>
        <color rgb="FFFCFCFF"/>
        <color rgb="FF63BE7B"/>
      </colorScale>
    </cfRule>
  </conditionalFormatting>
  <conditionalFormatting sqref="B110:G110 I110">
    <cfRule type="colorScale" priority="847">
      <colorScale>
        <cfvo type="min"/>
        <cfvo type="percentile" val="50"/>
        <cfvo type="max"/>
        <color rgb="FFF8696B"/>
        <color rgb="FFFCFCFF"/>
        <color rgb="FF63BE7B"/>
      </colorScale>
    </cfRule>
  </conditionalFormatting>
  <conditionalFormatting sqref="B111:G111 I111">
    <cfRule type="colorScale" priority="846">
      <colorScale>
        <cfvo type="min"/>
        <cfvo type="percentile" val="50"/>
        <cfvo type="max"/>
        <color rgb="FFF8696B"/>
        <color rgb="FFFCFCFF"/>
        <color rgb="FF63BE7B"/>
      </colorScale>
    </cfRule>
  </conditionalFormatting>
  <conditionalFormatting sqref="B112:G112 I112">
    <cfRule type="colorScale" priority="845">
      <colorScale>
        <cfvo type="min"/>
        <cfvo type="percentile" val="50"/>
        <cfvo type="max"/>
        <color rgb="FFF8696B"/>
        <color rgb="FFFCFCFF"/>
        <color rgb="FF63BE7B"/>
      </colorScale>
    </cfRule>
  </conditionalFormatting>
  <conditionalFormatting sqref="B113:G113 I113">
    <cfRule type="colorScale" priority="844">
      <colorScale>
        <cfvo type="min"/>
        <cfvo type="percentile" val="50"/>
        <cfvo type="max"/>
        <color rgb="FFF8696B"/>
        <color rgb="FFFCFCFF"/>
        <color rgb="FF63BE7B"/>
      </colorScale>
    </cfRule>
  </conditionalFormatting>
  <conditionalFormatting sqref="B108:G108">
    <cfRule type="colorScale" priority="843">
      <colorScale>
        <cfvo type="min"/>
        <cfvo type="percentile" val="50"/>
        <cfvo type="max"/>
        <color rgb="FFF8696B"/>
        <color rgb="FFFCFCFF"/>
        <color rgb="FF63BE7B"/>
      </colorScale>
    </cfRule>
  </conditionalFormatting>
  <conditionalFormatting sqref="B109:G109">
    <cfRule type="colorScale" priority="842">
      <colorScale>
        <cfvo type="min"/>
        <cfvo type="percentile" val="50"/>
        <cfvo type="max"/>
        <color rgb="FFF8696B"/>
        <color rgb="FFFCFCFF"/>
        <color rgb="FF63BE7B"/>
      </colorScale>
    </cfRule>
  </conditionalFormatting>
  <conditionalFormatting sqref="B110:G110">
    <cfRule type="colorScale" priority="841">
      <colorScale>
        <cfvo type="min"/>
        <cfvo type="percentile" val="50"/>
        <cfvo type="max"/>
        <color rgb="FFF8696B"/>
        <color rgb="FFFCFCFF"/>
        <color rgb="FF63BE7B"/>
      </colorScale>
    </cfRule>
  </conditionalFormatting>
  <conditionalFormatting sqref="B114:G114 I114">
    <cfRule type="colorScale" priority="840">
      <colorScale>
        <cfvo type="min"/>
        <cfvo type="percentile" val="50"/>
        <cfvo type="max"/>
        <color rgb="FFF8696B"/>
        <color rgb="FFFCFCFF"/>
        <color rgb="FF63BE7B"/>
      </colorScale>
    </cfRule>
  </conditionalFormatting>
  <conditionalFormatting sqref="B115:G115 I115">
    <cfRule type="colorScale" priority="839">
      <colorScale>
        <cfvo type="min"/>
        <cfvo type="percentile" val="50"/>
        <cfvo type="max"/>
        <color rgb="FFF8696B"/>
        <color rgb="FFFCFCFF"/>
        <color rgb="FF63BE7B"/>
      </colorScale>
    </cfRule>
  </conditionalFormatting>
  <conditionalFormatting sqref="B116:G116 I116">
    <cfRule type="colorScale" priority="838">
      <colorScale>
        <cfvo type="min"/>
        <cfvo type="percentile" val="50"/>
        <cfvo type="max"/>
        <color rgb="FFF8696B"/>
        <color rgb="FFFCFCFF"/>
        <color rgb="FF63BE7B"/>
      </colorScale>
    </cfRule>
  </conditionalFormatting>
  <conditionalFormatting sqref="B117:G117 I117">
    <cfRule type="colorScale" priority="837">
      <colorScale>
        <cfvo type="min"/>
        <cfvo type="percentile" val="50"/>
        <cfvo type="max"/>
        <color rgb="FFF8696B"/>
        <color rgb="FFFCFCFF"/>
        <color rgb="FF63BE7B"/>
      </colorScale>
    </cfRule>
  </conditionalFormatting>
  <conditionalFormatting sqref="B118:G118 I118">
    <cfRule type="colorScale" priority="836">
      <colorScale>
        <cfvo type="min"/>
        <cfvo type="percentile" val="50"/>
        <cfvo type="max"/>
        <color rgb="FFF8696B"/>
        <color rgb="FFFCFCFF"/>
        <color rgb="FF63BE7B"/>
      </colorScale>
    </cfRule>
  </conditionalFormatting>
  <conditionalFormatting sqref="K4:R4">
    <cfRule type="colorScale" priority="835">
      <colorScale>
        <cfvo type="min"/>
        <cfvo type="percentile" val="50"/>
        <cfvo type="max"/>
        <color rgb="FFF8696B"/>
        <color rgb="FFFCFCFF"/>
        <color rgb="FF63BE7B"/>
      </colorScale>
    </cfRule>
  </conditionalFormatting>
  <conditionalFormatting sqref="K5:R5">
    <cfRule type="colorScale" priority="834">
      <colorScale>
        <cfvo type="min"/>
        <cfvo type="percentile" val="50"/>
        <cfvo type="max"/>
        <color rgb="FFF8696B"/>
        <color rgb="FFFCFCFF"/>
        <color rgb="FF63BE7B"/>
      </colorScale>
    </cfRule>
  </conditionalFormatting>
  <conditionalFormatting sqref="K6:R6">
    <cfRule type="colorScale" priority="833">
      <colorScale>
        <cfvo type="min"/>
        <cfvo type="percentile" val="50"/>
        <cfvo type="max"/>
        <color rgb="FFF8696B"/>
        <color rgb="FFFCFCFF"/>
        <color rgb="FF63BE7B"/>
      </colorScale>
    </cfRule>
  </conditionalFormatting>
  <conditionalFormatting sqref="K7:R7">
    <cfRule type="colorScale" priority="832">
      <colorScale>
        <cfvo type="min"/>
        <cfvo type="percentile" val="50"/>
        <cfvo type="max"/>
        <color rgb="FFF8696B"/>
        <color rgb="FFFCFCFF"/>
        <color rgb="FF63BE7B"/>
      </colorScale>
    </cfRule>
  </conditionalFormatting>
  <conditionalFormatting sqref="K8:R8">
    <cfRule type="colorScale" priority="831">
      <colorScale>
        <cfvo type="min"/>
        <cfvo type="percentile" val="50"/>
        <cfvo type="max"/>
        <color rgb="FFF8696B"/>
        <color rgb="FFFCFCFF"/>
        <color rgb="FF63BE7B"/>
      </colorScale>
    </cfRule>
  </conditionalFormatting>
  <conditionalFormatting sqref="K9:R9">
    <cfRule type="colorScale" priority="830">
      <colorScale>
        <cfvo type="min"/>
        <cfvo type="percentile" val="50"/>
        <cfvo type="max"/>
        <color rgb="FFF8696B"/>
        <color rgb="FFFCFCFF"/>
        <color rgb="FF63BE7B"/>
      </colorScale>
    </cfRule>
  </conditionalFormatting>
  <conditionalFormatting sqref="K10:R10">
    <cfRule type="colorScale" priority="829">
      <colorScale>
        <cfvo type="min"/>
        <cfvo type="percentile" val="50"/>
        <cfvo type="max"/>
        <color rgb="FFF8696B"/>
        <color rgb="FFFCFCFF"/>
        <color rgb="FF63BE7B"/>
      </colorScale>
    </cfRule>
  </conditionalFormatting>
  <conditionalFormatting sqref="K11:R11">
    <cfRule type="colorScale" priority="828">
      <colorScale>
        <cfvo type="min"/>
        <cfvo type="percentile" val="50"/>
        <cfvo type="max"/>
        <color rgb="FFF8696B"/>
        <color rgb="FFFCFCFF"/>
        <color rgb="FF63BE7B"/>
      </colorScale>
    </cfRule>
  </conditionalFormatting>
  <conditionalFormatting sqref="K12:R12">
    <cfRule type="colorScale" priority="827">
      <colorScale>
        <cfvo type="min"/>
        <cfvo type="percentile" val="50"/>
        <cfvo type="max"/>
        <color rgb="FFF8696B"/>
        <color rgb="FFFCFCFF"/>
        <color rgb="FF63BE7B"/>
      </colorScale>
    </cfRule>
  </conditionalFormatting>
  <conditionalFormatting sqref="K13:R13">
    <cfRule type="colorScale" priority="826">
      <colorScale>
        <cfvo type="min"/>
        <cfvo type="percentile" val="50"/>
        <cfvo type="max"/>
        <color rgb="FFF8696B"/>
        <color rgb="FFFCFCFF"/>
        <color rgb="FF63BE7B"/>
      </colorScale>
    </cfRule>
  </conditionalFormatting>
  <conditionalFormatting sqref="K14:R14">
    <cfRule type="colorScale" priority="825">
      <colorScale>
        <cfvo type="min"/>
        <cfvo type="percentile" val="50"/>
        <cfvo type="max"/>
        <color rgb="FFF8696B"/>
        <color rgb="FFFCFCFF"/>
        <color rgb="FF63BE7B"/>
      </colorScale>
    </cfRule>
  </conditionalFormatting>
  <conditionalFormatting sqref="K15:R15">
    <cfRule type="colorScale" priority="824">
      <colorScale>
        <cfvo type="min"/>
        <cfvo type="percentile" val="50"/>
        <cfvo type="max"/>
        <color rgb="FFF8696B"/>
        <color rgb="FFFCFCFF"/>
        <color rgb="FF63BE7B"/>
      </colorScale>
    </cfRule>
  </conditionalFormatting>
  <conditionalFormatting sqref="K16:R16">
    <cfRule type="colorScale" priority="823">
      <colorScale>
        <cfvo type="min"/>
        <cfvo type="percentile" val="50"/>
        <cfvo type="max"/>
        <color rgb="FFF8696B"/>
        <color rgb="FFFCFCFF"/>
        <color rgb="FF63BE7B"/>
      </colorScale>
    </cfRule>
  </conditionalFormatting>
  <conditionalFormatting sqref="K17:R17">
    <cfRule type="colorScale" priority="822">
      <colorScale>
        <cfvo type="min"/>
        <cfvo type="percentile" val="50"/>
        <cfvo type="max"/>
        <color rgb="FFF8696B"/>
        <color rgb="FFFCFCFF"/>
        <color rgb="FF63BE7B"/>
      </colorScale>
    </cfRule>
  </conditionalFormatting>
  <conditionalFormatting sqref="K18:R18">
    <cfRule type="colorScale" priority="821">
      <colorScale>
        <cfvo type="min"/>
        <cfvo type="percentile" val="50"/>
        <cfvo type="max"/>
        <color rgb="FFF8696B"/>
        <color rgb="FFFCFCFF"/>
        <color rgb="FF63BE7B"/>
      </colorScale>
    </cfRule>
  </conditionalFormatting>
  <conditionalFormatting sqref="K19:R19">
    <cfRule type="colorScale" priority="820">
      <colorScale>
        <cfvo type="min"/>
        <cfvo type="percentile" val="50"/>
        <cfvo type="max"/>
        <color rgb="FFF8696B"/>
        <color rgb="FFFCFCFF"/>
        <color rgb="FF63BE7B"/>
      </colorScale>
    </cfRule>
  </conditionalFormatting>
  <conditionalFormatting sqref="K20:R20">
    <cfRule type="colorScale" priority="819">
      <colorScale>
        <cfvo type="min"/>
        <cfvo type="percentile" val="50"/>
        <cfvo type="max"/>
        <color rgb="FFF8696B"/>
        <color rgb="FFFCFCFF"/>
        <color rgb="FF63BE7B"/>
      </colorScale>
    </cfRule>
  </conditionalFormatting>
  <conditionalFormatting sqref="K21:R21">
    <cfRule type="colorScale" priority="818">
      <colorScale>
        <cfvo type="min"/>
        <cfvo type="percentile" val="50"/>
        <cfvo type="max"/>
        <color rgb="FFF8696B"/>
        <color rgb="FFFCFCFF"/>
        <color rgb="FF63BE7B"/>
      </colorScale>
    </cfRule>
  </conditionalFormatting>
  <conditionalFormatting sqref="K22:R22">
    <cfRule type="colorScale" priority="817">
      <colorScale>
        <cfvo type="min"/>
        <cfvo type="percentile" val="50"/>
        <cfvo type="max"/>
        <color rgb="FFF8696B"/>
        <color rgb="FFFCFCFF"/>
        <color rgb="FF63BE7B"/>
      </colorScale>
    </cfRule>
  </conditionalFormatting>
  <conditionalFormatting sqref="K23:R23">
    <cfRule type="colorScale" priority="816">
      <colorScale>
        <cfvo type="min"/>
        <cfvo type="percentile" val="50"/>
        <cfvo type="max"/>
        <color rgb="FFF8696B"/>
        <color rgb="FFFCFCFF"/>
        <color rgb="FF63BE7B"/>
      </colorScale>
    </cfRule>
  </conditionalFormatting>
  <conditionalFormatting sqref="K24:R24">
    <cfRule type="colorScale" priority="815">
      <colorScale>
        <cfvo type="min"/>
        <cfvo type="percentile" val="50"/>
        <cfvo type="max"/>
        <color rgb="FFF8696B"/>
        <color rgb="FFFCFCFF"/>
        <color rgb="FF63BE7B"/>
      </colorScale>
    </cfRule>
  </conditionalFormatting>
  <conditionalFormatting sqref="K25:R25">
    <cfRule type="colorScale" priority="814">
      <colorScale>
        <cfvo type="min"/>
        <cfvo type="percentile" val="50"/>
        <cfvo type="max"/>
        <color rgb="FFF8696B"/>
        <color rgb="FFFCFCFF"/>
        <color rgb="FF63BE7B"/>
      </colorScale>
    </cfRule>
  </conditionalFormatting>
  <conditionalFormatting sqref="K26:R26">
    <cfRule type="colorScale" priority="813">
      <colorScale>
        <cfvo type="min"/>
        <cfvo type="percentile" val="50"/>
        <cfvo type="max"/>
        <color rgb="FFF8696B"/>
        <color rgb="FFFCFCFF"/>
        <color rgb="FF63BE7B"/>
      </colorScale>
    </cfRule>
  </conditionalFormatting>
  <conditionalFormatting sqref="K27:R27">
    <cfRule type="colorScale" priority="812">
      <colorScale>
        <cfvo type="min"/>
        <cfvo type="percentile" val="50"/>
        <cfvo type="max"/>
        <color rgb="FFF8696B"/>
        <color rgb="FFFCFCFF"/>
        <color rgb="FF63BE7B"/>
      </colorScale>
    </cfRule>
  </conditionalFormatting>
  <conditionalFormatting sqref="K28:R28">
    <cfRule type="colorScale" priority="811">
      <colorScale>
        <cfvo type="min"/>
        <cfvo type="percentile" val="50"/>
        <cfvo type="max"/>
        <color rgb="FFF8696B"/>
        <color rgb="FFFCFCFF"/>
        <color rgb="FF63BE7B"/>
      </colorScale>
    </cfRule>
  </conditionalFormatting>
  <conditionalFormatting sqref="K29:R29">
    <cfRule type="colorScale" priority="810">
      <colorScale>
        <cfvo type="min"/>
        <cfvo type="percentile" val="50"/>
        <cfvo type="max"/>
        <color rgb="FFF8696B"/>
        <color rgb="FFFCFCFF"/>
        <color rgb="FF63BE7B"/>
      </colorScale>
    </cfRule>
  </conditionalFormatting>
  <conditionalFormatting sqref="K30:R30">
    <cfRule type="colorScale" priority="809">
      <colorScale>
        <cfvo type="min"/>
        <cfvo type="percentile" val="50"/>
        <cfvo type="max"/>
        <color rgb="FFF8696B"/>
        <color rgb="FFFCFCFF"/>
        <color rgb="FF63BE7B"/>
      </colorScale>
    </cfRule>
  </conditionalFormatting>
  <conditionalFormatting sqref="K31:R31">
    <cfRule type="colorScale" priority="808">
      <colorScale>
        <cfvo type="min"/>
        <cfvo type="percentile" val="50"/>
        <cfvo type="max"/>
        <color rgb="FFF8696B"/>
        <color rgb="FFFCFCFF"/>
        <color rgb="FF63BE7B"/>
      </colorScale>
    </cfRule>
  </conditionalFormatting>
  <conditionalFormatting sqref="K32:R32">
    <cfRule type="colorScale" priority="807">
      <colorScale>
        <cfvo type="min"/>
        <cfvo type="percentile" val="50"/>
        <cfvo type="max"/>
        <color rgb="FFF8696B"/>
        <color rgb="FFFCFCFF"/>
        <color rgb="FF63BE7B"/>
      </colorScale>
    </cfRule>
  </conditionalFormatting>
  <conditionalFormatting sqref="K33:R33">
    <cfRule type="colorScale" priority="806">
      <colorScale>
        <cfvo type="min"/>
        <cfvo type="percentile" val="50"/>
        <cfvo type="max"/>
        <color rgb="FFF8696B"/>
        <color rgb="FFFCFCFF"/>
        <color rgb="FF63BE7B"/>
      </colorScale>
    </cfRule>
  </conditionalFormatting>
  <conditionalFormatting sqref="K34:R34">
    <cfRule type="colorScale" priority="805">
      <colorScale>
        <cfvo type="min"/>
        <cfvo type="percentile" val="50"/>
        <cfvo type="max"/>
        <color rgb="FFF8696B"/>
        <color rgb="FFFCFCFF"/>
        <color rgb="FF63BE7B"/>
      </colorScale>
    </cfRule>
  </conditionalFormatting>
  <conditionalFormatting sqref="K35:R35">
    <cfRule type="colorScale" priority="804">
      <colorScale>
        <cfvo type="min"/>
        <cfvo type="percentile" val="50"/>
        <cfvo type="max"/>
        <color rgb="FFF8696B"/>
        <color rgb="FFFCFCFF"/>
        <color rgb="FF63BE7B"/>
      </colorScale>
    </cfRule>
  </conditionalFormatting>
  <conditionalFormatting sqref="K36:R36">
    <cfRule type="colorScale" priority="803">
      <colorScale>
        <cfvo type="min"/>
        <cfvo type="percentile" val="50"/>
        <cfvo type="max"/>
        <color rgb="FFF8696B"/>
        <color rgb="FFFCFCFF"/>
        <color rgb="FF63BE7B"/>
      </colorScale>
    </cfRule>
  </conditionalFormatting>
  <conditionalFormatting sqref="K37:R37">
    <cfRule type="colorScale" priority="802">
      <colorScale>
        <cfvo type="min"/>
        <cfvo type="percentile" val="50"/>
        <cfvo type="max"/>
        <color rgb="FFF8696B"/>
        <color rgb="FFFCFCFF"/>
        <color rgb="FF63BE7B"/>
      </colorScale>
    </cfRule>
  </conditionalFormatting>
  <conditionalFormatting sqref="K38:R38">
    <cfRule type="colorScale" priority="801">
      <colorScale>
        <cfvo type="min"/>
        <cfvo type="percentile" val="50"/>
        <cfvo type="max"/>
        <color rgb="FFF8696B"/>
        <color rgb="FFFCFCFF"/>
        <color rgb="FF63BE7B"/>
      </colorScale>
    </cfRule>
  </conditionalFormatting>
  <conditionalFormatting sqref="K39:R39">
    <cfRule type="colorScale" priority="800">
      <colorScale>
        <cfvo type="min"/>
        <cfvo type="percentile" val="50"/>
        <cfvo type="max"/>
        <color rgb="FFF8696B"/>
        <color rgb="FFFCFCFF"/>
        <color rgb="FF63BE7B"/>
      </colorScale>
    </cfRule>
  </conditionalFormatting>
  <conditionalFormatting sqref="K40:R40">
    <cfRule type="colorScale" priority="799">
      <colorScale>
        <cfvo type="min"/>
        <cfvo type="percentile" val="50"/>
        <cfvo type="max"/>
        <color rgb="FFF8696B"/>
        <color rgb="FFFCFCFF"/>
        <color rgb="FF63BE7B"/>
      </colorScale>
    </cfRule>
  </conditionalFormatting>
  <conditionalFormatting sqref="K41:R41">
    <cfRule type="colorScale" priority="798">
      <colorScale>
        <cfvo type="min"/>
        <cfvo type="percentile" val="50"/>
        <cfvo type="max"/>
        <color rgb="FFF8696B"/>
        <color rgb="FFFCFCFF"/>
        <color rgb="FF63BE7B"/>
      </colorScale>
    </cfRule>
  </conditionalFormatting>
  <conditionalFormatting sqref="K42:R42">
    <cfRule type="colorScale" priority="797">
      <colorScale>
        <cfvo type="min"/>
        <cfvo type="percentile" val="50"/>
        <cfvo type="max"/>
        <color rgb="FFF8696B"/>
        <color rgb="FFFCFCFF"/>
        <color rgb="FF63BE7B"/>
      </colorScale>
    </cfRule>
  </conditionalFormatting>
  <conditionalFormatting sqref="K43:R43">
    <cfRule type="colorScale" priority="796">
      <colorScale>
        <cfvo type="min"/>
        <cfvo type="percentile" val="50"/>
        <cfvo type="max"/>
        <color rgb="FFF8696B"/>
        <color rgb="FFFCFCFF"/>
        <color rgb="FF63BE7B"/>
      </colorScale>
    </cfRule>
  </conditionalFormatting>
  <conditionalFormatting sqref="K44:R44">
    <cfRule type="colorScale" priority="795">
      <colorScale>
        <cfvo type="min"/>
        <cfvo type="percentile" val="50"/>
        <cfvo type="max"/>
        <color rgb="FFF8696B"/>
        <color rgb="FFFCFCFF"/>
        <color rgb="FF63BE7B"/>
      </colorScale>
    </cfRule>
  </conditionalFormatting>
  <conditionalFormatting sqref="K45:R45">
    <cfRule type="colorScale" priority="794">
      <colorScale>
        <cfvo type="min"/>
        <cfvo type="percentile" val="50"/>
        <cfvo type="max"/>
        <color rgb="FFF8696B"/>
        <color rgb="FFFCFCFF"/>
        <color rgb="FF63BE7B"/>
      </colorScale>
    </cfRule>
  </conditionalFormatting>
  <conditionalFormatting sqref="K46:R46">
    <cfRule type="colorScale" priority="793">
      <colorScale>
        <cfvo type="min"/>
        <cfvo type="percentile" val="50"/>
        <cfvo type="max"/>
        <color rgb="FFF8696B"/>
        <color rgb="FFFCFCFF"/>
        <color rgb="FF63BE7B"/>
      </colorScale>
    </cfRule>
  </conditionalFormatting>
  <conditionalFormatting sqref="K47:R47">
    <cfRule type="colorScale" priority="792">
      <colorScale>
        <cfvo type="min"/>
        <cfvo type="percentile" val="50"/>
        <cfvo type="max"/>
        <color rgb="FFF8696B"/>
        <color rgb="FFFCFCFF"/>
        <color rgb="FF63BE7B"/>
      </colorScale>
    </cfRule>
  </conditionalFormatting>
  <conditionalFormatting sqref="K48:R48">
    <cfRule type="colorScale" priority="791">
      <colorScale>
        <cfvo type="min"/>
        <cfvo type="percentile" val="50"/>
        <cfvo type="max"/>
        <color rgb="FFF8696B"/>
        <color rgb="FFFCFCFF"/>
        <color rgb="FF63BE7B"/>
      </colorScale>
    </cfRule>
  </conditionalFormatting>
  <conditionalFormatting sqref="K49:R49">
    <cfRule type="colorScale" priority="790">
      <colorScale>
        <cfvo type="min"/>
        <cfvo type="percentile" val="50"/>
        <cfvo type="max"/>
        <color rgb="FFF8696B"/>
        <color rgb="FFFCFCFF"/>
        <color rgb="FF63BE7B"/>
      </colorScale>
    </cfRule>
  </conditionalFormatting>
  <conditionalFormatting sqref="K50:R50">
    <cfRule type="colorScale" priority="789">
      <colorScale>
        <cfvo type="min"/>
        <cfvo type="percentile" val="50"/>
        <cfvo type="max"/>
        <color rgb="FFF8696B"/>
        <color rgb="FFFCFCFF"/>
        <color rgb="FF63BE7B"/>
      </colorScale>
    </cfRule>
  </conditionalFormatting>
  <conditionalFormatting sqref="K51:R51">
    <cfRule type="colorScale" priority="788">
      <colorScale>
        <cfvo type="min"/>
        <cfvo type="percentile" val="50"/>
        <cfvo type="max"/>
        <color rgb="FFF8696B"/>
        <color rgb="FFFCFCFF"/>
        <color rgb="FF63BE7B"/>
      </colorScale>
    </cfRule>
  </conditionalFormatting>
  <conditionalFormatting sqref="K52:R52">
    <cfRule type="colorScale" priority="787">
      <colorScale>
        <cfvo type="min"/>
        <cfvo type="percentile" val="50"/>
        <cfvo type="max"/>
        <color rgb="FFF8696B"/>
        <color rgb="FFFCFCFF"/>
        <color rgb="FF63BE7B"/>
      </colorScale>
    </cfRule>
  </conditionalFormatting>
  <conditionalFormatting sqref="K53:R53">
    <cfRule type="colorScale" priority="786">
      <colorScale>
        <cfvo type="min"/>
        <cfvo type="percentile" val="50"/>
        <cfvo type="max"/>
        <color rgb="FFF8696B"/>
        <color rgb="FFFCFCFF"/>
        <color rgb="FF63BE7B"/>
      </colorScale>
    </cfRule>
  </conditionalFormatting>
  <conditionalFormatting sqref="K54:R54">
    <cfRule type="colorScale" priority="785">
      <colorScale>
        <cfvo type="min"/>
        <cfvo type="percentile" val="50"/>
        <cfvo type="max"/>
        <color rgb="FFF8696B"/>
        <color rgb="FFFCFCFF"/>
        <color rgb="FF63BE7B"/>
      </colorScale>
    </cfRule>
  </conditionalFormatting>
  <conditionalFormatting sqref="K55:R55">
    <cfRule type="colorScale" priority="784">
      <colorScale>
        <cfvo type="min"/>
        <cfvo type="percentile" val="50"/>
        <cfvo type="max"/>
        <color rgb="FFF8696B"/>
        <color rgb="FFFCFCFF"/>
        <color rgb="FF63BE7B"/>
      </colorScale>
    </cfRule>
  </conditionalFormatting>
  <conditionalFormatting sqref="K56:R56">
    <cfRule type="colorScale" priority="783">
      <colorScale>
        <cfvo type="min"/>
        <cfvo type="percentile" val="50"/>
        <cfvo type="max"/>
        <color rgb="FFF8696B"/>
        <color rgb="FFFCFCFF"/>
        <color rgb="FF63BE7B"/>
      </colorScale>
    </cfRule>
  </conditionalFormatting>
  <conditionalFormatting sqref="K57:R57">
    <cfRule type="colorScale" priority="782">
      <colorScale>
        <cfvo type="min"/>
        <cfvo type="percentile" val="50"/>
        <cfvo type="max"/>
        <color rgb="FFF8696B"/>
        <color rgb="FFFCFCFF"/>
        <color rgb="FF63BE7B"/>
      </colorScale>
    </cfRule>
  </conditionalFormatting>
  <conditionalFormatting sqref="K58:R58">
    <cfRule type="colorScale" priority="781">
      <colorScale>
        <cfvo type="min"/>
        <cfvo type="percentile" val="50"/>
        <cfvo type="max"/>
        <color rgb="FFF8696B"/>
        <color rgb="FFFCFCFF"/>
        <color rgb="FF63BE7B"/>
      </colorScale>
    </cfRule>
  </conditionalFormatting>
  <conditionalFormatting sqref="K59:R59">
    <cfRule type="colorScale" priority="780">
      <colorScale>
        <cfvo type="min"/>
        <cfvo type="percentile" val="50"/>
        <cfvo type="max"/>
        <color rgb="FFF8696B"/>
        <color rgb="FFFCFCFF"/>
        <color rgb="FF63BE7B"/>
      </colorScale>
    </cfRule>
  </conditionalFormatting>
  <conditionalFormatting sqref="K60:R60">
    <cfRule type="colorScale" priority="779">
      <colorScale>
        <cfvo type="min"/>
        <cfvo type="percentile" val="50"/>
        <cfvo type="max"/>
        <color rgb="FFF8696B"/>
        <color rgb="FFFCFCFF"/>
        <color rgb="FF63BE7B"/>
      </colorScale>
    </cfRule>
  </conditionalFormatting>
  <conditionalFormatting sqref="K61:R61">
    <cfRule type="colorScale" priority="778">
      <colorScale>
        <cfvo type="min"/>
        <cfvo type="percentile" val="50"/>
        <cfvo type="max"/>
        <color rgb="FFF8696B"/>
        <color rgb="FFFCFCFF"/>
        <color rgb="FF63BE7B"/>
      </colorScale>
    </cfRule>
  </conditionalFormatting>
  <conditionalFormatting sqref="K62:R62">
    <cfRule type="colorScale" priority="777">
      <colorScale>
        <cfvo type="min"/>
        <cfvo type="percentile" val="50"/>
        <cfvo type="max"/>
        <color rgb="FFF8696B"/>
        <color rgb="FFFCFCFF"/>
        <color rgb="FF63BE7B"/>
      </colorScale>
    </cfRule>
  </conditionalFormatting>
  <conditionalFormatting sqref="K63:R63">
    <cfRule type="colorScale" priority="776">
      <colorScale>
        <cfvo type="min"/>
        <cfvo type="percentile" val="50"/>
        <cfvo type="max"/>
        <color rgb="FFF8696B"/>
        <color rgb="FFFCFCFF"/>
        <color rgb="FF63BE7B"/>
      </colorScale>
    </cfRule>
  </conditionalFormatting>
  <conditionalFormatting sqref="K64:R64">
    <cfRule type="colorScale" priority="775">
      <colorScale>
        <cfvo type="min"/>
        <cfvo type="percentile" val="50"/>
        <cfvo type="max"/>
        <color rgb="FFF8696B"/>
        <color rgb="FFFCFCFF"/>
        <color rgb="FF63BE7B"/>
      </colorScale>
    </cfRule>
  </conditionalFormatting>
  <conditionalFormatting sqref="K65:R65">
    <cfRule type="colorScale" priority="774">
      <colorScale>
        <cfvo type="min"/>
        <cfvo type="percentile" val="50"/>
        <cfvo type="max"/>
        <color rgb="FFF8696B"/>
        <color rgb="FFFCFCFF"/>
        <color rgb="FF63BE7B"/>
      </colorScale>
    </cfRule>
  </conditionalFormatting>
  <conditionalFormatting sqref="K66:R66">
    <cfRule type="colorScale" priority="773">
      <colorScale>
        <cfvo type="min"/>
        <cfvo type="percentile" val="50"/>
        <cfvo type="max"/>
        <color rgb="FFF8696B"/>
        <color rgb="FFFCFCFF"/>
        <color rgb="FF63BE7B"/>
      </colorScale>
    </cfRule>
  </conditionalFormatting>
  <conditionalFormatting sqref="K67:R67">
    <cfRule type="colorScale" priority="772">
      <colorScale>
        <cfvo type="min"/>
        <cfvo type="percentile" val="50"/>
        <cfvo type="max"/>
        <color rgb="FFF8696B"/>
        <color rgb="FFFCFCFF"/>
        <color rgb="FF63BE7B"/>
      </colorScale>
    </cfRule>
  </conditionalFormatting>
  <conditionalFormatting sqref="K68:R68">
    <cfRule type="colorScale" priority="771">
      <colorScale>
        <cfvo type="min"/>
        <cfvo type="percentile" val="50"/>
        <cfvo type="max"/>
        <color rgb="FFF8696B"/>
        <color rgb="FFFCFCFF"/>
        <color rgb="FF63BE7B"/>
      </colorScale>
    </cfRule>
  </conditionalFormatting>
  <conditionalFormatting sqref="K69:R69">
    <cfRule type="colorScale" priority="770">
      <colorScale>
        <cfvo type="min"/>
        <cfvo type="percentile" val="50"/>
        <cfvo type="max"/>
        <color rgb="FFF8696B"/>
        <color rgb="FFFCFCFF"/>
        <color rgb="FF63BE7B"/>
      </colorScale>
    </cfRule>
  </conditionalFormatting>
  <conditionalFormatting sqref="K70:R70">
    <cfRule type="colorScale" priority="769">
      <colorScale>
        <cfvo type="min"/>
        <cfvo type="percentile" val="50"/>
        <cfvo type="max"/>
        <color rgb="FFF8696B"/>
        <color rgb="FFFCFCFF"/>
        <color rgb="FF63BE7B"/>
      </colorScale>
    </cfRule>
  </conditionalFormatting>
  <conditionalFormatting sqref="K71:R71">
    <cfRule type="colorScale" priority="768">
      <colorScale>
        <cfvo type="min"/>
        <cfvo type="percentile" val="50"/>
        <cfvo type="max"/>
        <color rgb="FFF8696B"/>
        <color rgb="FFFCFCFF"/>
        <color rgb="FF63BE7B"/>
      </colorScale>
    </cfRule>
  </conditionalFormatting>
  <conditionalFormatting sqref="K72:R72">
    <cfRule type="colorScale" priority="767">
      <colorScale>
        <cfvo type="min"/>
        <cfvo type="percentile" val="50"/>
        <cfvo type="max"/>
        <color rgb="FFF8696B"/>
        <color rgb="FFFCFCFF"/>
        <color rgb="FF63BE7B"/>
      </colorScale>
    </cfRule>
  </conditionalFormatting>
  <conditionalFormatting sqref="K73:R73">
    <cfRule type="colorScale" priority="766">
      <colorScale>
        <cfvo type="min"/>
        <cfvo type="percentile" val="50"/>
        <cfvo type="max"/>
        <color rgb="FFF8696B"/>
        <color rgb="FFFCFCFF"/>
        <color rgb="FF63BE7B"/>
      </colorScale>
    </cfRule>
  </conditionalFormatting>
  <conditionalFormatting sqref="K74:R74">
    <cfRule type="colorScale" priority="765">
      <colorScale>
        <cfvo type="min"/>
        <cfvo type="percentile" val="50"/>
        <cfvo type="max"/>
        <color rgb="FFF8696B"/>
        <color rgb="FFFCFCFF"/>
        <color rgb="FF63BE7B"/>
      </colorScale>
    </cfRule>
  </conditionalFormatting>
  <conditionalFormatting sqref="K75:R75">
    <cfRule type="colorScale" priority="764">
      <colorScale>
        <cfvo type="min"/>
        <cfvo type="percentile" val="50"/>
        <cfvo type="max"/>
        <color rgb="FFF8696B"/>
        <color rgb="FFFCFCFF"/>
        <color rgb="FF63BE7B"/>
      </colorScale>
    </cfRule>
  </conditionalFormatting>
  <conditionalFormatting sqref="K76:R76">
    <cfRule type="colorScale" priority="763">
      <colorScale>
        <cfvo type="min"/>
        <cfvo type="percentile" val="50"/>
        <cfvo type="max"/>
        <color rgb="FFF8696B"/>
        <color rgb="FFFCFCFF"/>
        <color rgb="FF63BE7B"/>
      </colorScale>
    </cfRule>
  </conditionalFormatting>
  <conditionalFormatting sqref="K77:R77">
    <cfRule type="colorScale" priority="762">
      <colorScale>
        <cfvo type="min"/>
        <cfvo type="percentile" val="50"/>
        <cfvo type="max"/>
        <color rgb="FFF8696B"/>
        <color rgb="FFFCFCFF"/>
        <color rgb="FF63BE7B"/>
      </colorScale>
    </cfRule>
  </conditionalFormatting>
  <conditionalFormatting sqref="K78:R78">
    <cfRule type="colorScale" priority="761">
      <colorScale>
        <cfvo type="min"/>
        <cfvo type="percentile" val="50"/>
        <cfvo type="max"/>
        <color rgb="FFF8696B"/>
        <color rgb="FFFCFCFF"/>
        <color rgb="FF63BE7B"/>
      </colorScale>
    </cfRule>
  </conditionalFormatting>
  <conditionalFormatting sqref="K79:R79">
    <cfRule type="colorScale" priority="760">
      <colorScale>
        <cfvo type="min"/>
        <cfvo type="percentile" val="50"/>
        <cfvo type="max"/>
        <color rgb="FFF8696B"/>
        <color rgb="FFFCFCFF"/>
        <color rgb="FF63BE7B"/>
      </colorScale>
    </cfRule>
  </conditionalFormatting>
  <conditionalFormatting sqref="K80:R80">
    <cfRule type="colorScale" priority="759">
      <colorScale>
        <cfvo type="min"/>
        <cfvo type="percentile" val="50"/>
        <cfvo type="max"/>
        <color rgb="FFF8696B"/>
        <color rgb="FFFCFCFF"/>
        <color rgb="FF63BE7B"/>
      </colorScale>
    </cfRule>
  </conditionalFormatting>
  <conditionalFormatting sqref="K81:R81">
    <cfRule type="colorScale" priority="758">
      <colorScale>
        <cfvo type="min"/>
        <cfvo type="percentile" val="50"/>
        <cfvo type="max"/>
        <color rgb="FFF8696B"/>
        <color rgb="FFFCFCFF"/>
        <color rgb="FF63BE7B"/>
      </colorScale>
    </cfRule>
  </conditionalFormatting>
  <conditionalFormatting sqref="K82:R82">
    <cfRule type="colorScale" priority="757">
      <colorScale>
        <cfvo type="min"/>
        <cfvo type="percentile" val="50"/>
        <cfvo type="max"/>
        <color rgb="FFF8696B"/>
        <color rgb="FFFCFCFF"/>
        <color rgb="FF63BE7B"/>
      </colorScale>
    </cfRule>
  </conditionalFormatting>
  <conditionalFormatting sqref="K83:R83">
    <cfRule type="colorScale" priority="756">
      <colorScale>
        <cfvo type="min"/>
        <cfvo type="percentile" val="50"/>
        <cfvo type="max"/>
        <color rgb="FFF8696B"/>
        <color rgb="FFFCFCFF"/>
        <color rgb="FF63BE7B"/>
      </colorScale>
    </cfRule>
  </conditionalFormatting>
  <conditionalFormatting sqref="K84:R84">
    <cfRule type="colorScale" priority="755">
      <colorScale>
        <cfvo type="min"/>
        <cfvo type="percentile" val="50"/>
        <cfvo type="max"/>
        <color rgb="FFF8696B"/>
        <color rgb="FFFCFCFF"/>
        <color rgb="FF63BE7B"/>
      </colorScale>
    </cfRule>
  </conditionalFormatting>
  <conditionalFormatting sqref="K85:R85">
    <cfRule type="colorScale" priority="754">
      <colorScale>
        <cfvo type="min"/>
        <cfvo type="percentile" val="50"/>
        <cfvo type="max"/>
        <color rgb="FFF8696B"/>
        <color rgb="FFFCFCFF"/>
        <color rgb="FF63BE7B"/>
      </colorScale>
    </cfRule>
  </conditionalFormatting>
  <conditionalFormatting sqref="K86:R86">
    <cfRule type="colorScale" priority="753">
      <colorScale>
        <cfvo type="min"/>
        <cfvo type="percentile" val="50"/>
        <cfvo type="max"/>
        <color rgb="FFF8696B"/>
        <color rgb="FFFCFCFF"/>
        <color rgb="FF63BE7B"/>
      </colorScale>
    </cfRule>
  </conditionalFormatting>
  <conditionalFormatting sqref="K87:R87">
    <cfRule type="colorScale" priority="752">
      <colorScale>
        <cfvo type="min"/>
        <cfvo type="percentile" val="50"/>
        <cfvo type="max"/>
        <color rgb="FFF8696B"/>
        <color rgb="FFFCFCFF"/>
        <color rgb="FF63BE7B"/>
      </colorScale>
    </cfRule>
  </conditionalFormatting>
  <conditionalFormatting sqref="K88:R88">
    <cfRule type="colorScale" priority="751">
      <colorScale>
        <cfvo type="min"/>
        <cfvo type="percentile" val="50"/>
        <cfvo type="max"/>
        <color rgb="FFF8696B"/>
        <color rgb="FFFCFCFF"/>
        <color rgb="FF63BE7B"/>
      </colorScale>
    </cfRule>
  </conditionalFormatting>
  <conditionalFormatting sqref="K89:R89">
    <cfRule type="colorScale" priority="750">
      <colorScale>
        <cfvo type="min"/>
        <cfvo type="percentile" val="50"/>
        <cfvo type="max"/>
        <color rgb="FFF8696B"/>
        <color rgb="FFFCFCFF"/>
        <color rgb="FF63BE7B"/>
      </colorScale>
    </cfRule>
  </conditionalFormatting>
  <conditionalFormatting sqref="K90:R90">
    <cfRule type="colorScale" priority="749">
      <colorScale>
        <cfvo type="min"/>
        <cfvo type="percentile" val="50"/>
        <cfvo type="max"/>
        <color rgb="FFF8696B"/>
        <color rgb="FFFCFCFF"/>
        <color rgb="FF63BE7B"/>
      </colorScale>
    </cfRule>
  </conditionalFormatting>
  <conditionalFormatting sqref="K91:R91">
    <cfRule type="colorScale" priority="748">
      <colorScale>
        <cfvo type="min"/>
        <cfvo type="percentile" val="50"/>
        <cfvo type="max"/>
        <color rgb="FFF8696B"/>
        <color rgb="FFFCFCFF"/>
        <color rgb="FF63BE7B"/>
      </colorScale>
    </cfRule>
  </conditionalFormatting>
  <conditionalFormatting sqref="K92:R92">
    <cfRule type="colorScale" priority="747">
      <colorScale>
        <cfvo type="min"/>
        <cfvo type="percentile" val="50"/>
        <cfvo type="max"/>
        <color rgb="FFF8696B"/>
        <color rgb="FFFCFCFF"/>
        <color rgb="FF63BE7B"/>
      </colorScale>
    </cfRule>
  </conditionalFormatting>
  <conditionalFormatting sqref="K93:R93">
    <cfRule type="colorScale" priority="746">
      <colorScale>
        <cfvo type="min"/>
        <cfvo type="percentile" val="50"/>
        <cfvo type="max"/>
        <color rgb="FFF8696B"/>
        <color rgb="FFFCFCFF"/>
        <color rgb="FF63BE7B"/>
      </colorScale>
    </cfRule>
  </conditionalFormatting>
  <conditionalFormatting sqref="K94:R94">
    <cfRule type="colorScale" priority="745">
      <colorScale>
        <cfvo type="min"/>
        <cfvo type="percentile" val="50"/>
        <cfvo type="max"/>
        <color rgb="FFF8696B"/>
        <color rgb="FFFCFCFF"/>
        <color rgb="FF63BE7B"/>
      </colorScale>
    </cfRule>
  </conditionalFormatting>
  <conditionalFormatting sqref="K95:R95">
    <cfRule type="colorScale" priority="744">
      <colorScale>
        <cfvo type="min"/>
        <cfvo type="percentile" val="50"/>
        <cfvo type="max"/>
        <color rgb="FFF8696B"/>
        <color rgb="FFFCFCFF"/>
        <color rgb="FF63BE7B"/>
      </colorScale>
    </cfRule>
  </conditionalFormatting>
  <conditionalFormatting sqref="K96:R96">
    <cfRule type="colorScale" priority="743">
      <colorScale>
        <cfvo type="min"/>
        <cfvo type="percentile" val="50"/>
        <cfvo type="max"/>
        <color rgb="FFF8696B"/>
        <color rgb="FFFCFCFF"/>
        <color rgb="FF63BE7B"/>
      </colorScale>
    </cfRule>
  </conditionalFormatting>
  <conditionalFormatting sqref="K97:R97">
    <cfRule type="colorScale" priority="742">
      <colorScale>
        <cfvo type="min"/>
        <cfvo type="percentile" val="50"/>
        <cfvo type="max"/>
        <color rgb="FFF8696B"/>
        <color rgb="FFFCFCFF"/>
        <color rgb="FF63BE7B"/>
      </colorScale>
    </cfRule>
  </conditionalFormatting>
  <conditionalFormatting sqref="K98:R98">
    <cfRule type="colorScale" priority="741">
      <colorScale>
        <cfvo type="min"/>
        <cfvo type="percentile" val="50"/>
        <cfvo type="max"/>
        <color rgb="FFF8696B"/>
        <color rgb="FFFCFCFF"/>
        <color rgb="FF63BE7B"/>
      </colorScale>
    </cfRule>
  </conditionalFormatting>
  <conditionalFormatting sqref="K99:R99">
    <cfRule type="colorScale" priority="740">
      <colorScale>
        <cfvo type="min"/>
        <cfvo type="percentile" val="50"/>
        <cfvo type="max"/>
        <color rgb="FFF8696B"/>
        <color rgb="FFFCFCFF"/>
        <color rgb="FF63BE7B"/>
      </colorScale>
    </cfRule>
  </conditionalFormatting>
  <conditionalFormatting sqref="K100:R100">
    <cfRule type="colorScale" priority="739">
      <colorScale>
        <cfvo type="min"/>
        <cfvo type="percentile" val="50"/>
        <cfvo type="max"/>
        <color rgb="FFF8696B"/>
        <color rgb="FFFCFCFF"/>
        <color rgb="FF63BE7B"/>
      </colorScale>
    </cfRule>
  </conditionalFormatting>
  <conditionalFormatting sqref="K101:R101">
    <cfRule type="colorScale" priority="738">
      <colorScale>
        <cfvo type="min"/>
        <cfvo type="percentile" val="50"/>
        <cfvo type="max"/>
        <color rgb="FFF8696B"/>
        <color rgb="FFFCFCFF"/>
        <color rgb="FF63BE7B"/>
      </colorScale>
    </cfRule>
  </conditionalFormatting>
  <conditionalFormatting sqref="K102:R102">
    <cfRule type="colorScale" priority="737">
      <colorScale>
        <cfvo type="min"/>
        <cfvo type="percentile" val="50"/>
        <cfvo type="max"/>
        <color rgb="FFF8696B"/>
        <color rgb="FFFCFCFF"/>
        <color rgb="FF63BE7B"/>
      </colorScale>
    </cfRule>
  </conditionalFormatting>
  <conditionalFormatting sqref="K103:R103">
    <cfRule type="colorScale" priority="736">
      <colorScale>
        <cfvo type="min"/>
        <cfvo type="percentile" val="50"/>
        <cfvo type="max"/>
        <color rgb="FFF8696B"/>
        <color rgb="FFFCFCFF"/>
        <color rgb="FF63BE7B"/>
      </colorScale>
    </cfRule>
  </conditionalFormatting>
  <conditionalFormatting sqref="K104:R104">
    <cfRule type="colorScale" priority="735">
      <colorScale>
        <cfvo type="min"/>
        <cfvo type="percentile" val="50"/>
        <cfvo type="max"/>
        <color rgb="FFF8696B"/>
        <color rgb="FFFCFCFF"/>
        <color rgb="FF63BE7B"/>
      </colorScale>
    </cfRule>
  </conditionalFormatting>
  <conditionalFormatting sqref="K105:R105">
    <cfRule type="colorScale" priority="734">
      <colorScale>
        <cfvo type="min"/>
        <cfvo type="percentile" val="50"/>
        <cfvo type="max"/>
        <color rgb="FFF8696B"/>
        <color rgb="FFFCFCFF"/>
        <color rgb="FF63BE7B"/>
      </colorScale>
    </cfRule>
  </conditionalFormatting>
  <conditionalFormatting sqref="K106:R106">
    <cfRule type="colorScale" priority="733">
      <colorScale>
        <cfvo type="min"/>
        <cfvo type="percentile" val="50"/>
        <cfvo type="max"/>
        <color rgb="FFF8696B"/>
        <color rgb="FFFCFCFF"/>
        <color rgb="FF63BE7B"/>
      </colorScale>
    </cfRule>
  </conditionalFormatting>
  <conditionalFormatting sqref="K107:R107">
    <cfRule type="colorScale" priority="732">
      <colorScale>
        <cfvo type="min"/>
        <cfvo type="percentile" val="50"/>
        <cfvo type="max"/>
        <color rgb="FFF8696B"/>
        <color rgb="FFFCFCFF"/>
        <color rgb="FF63BE7B"/>
      </colorScale>
    </cfRule>
  </conditionalFormatting>
  <conditionalFormatting sqref="K108:R108">
    <cfRule type="colorScale" priority="731">
      <colorScale>
        <cfvo type="min"/>
        <cfvo type="percentile" val="50"/>
        <cfvo type="max"/>
        <color rgb="FFF8696B"/>
        <color rgb="FFFCFCFF"/>
        <color rgb="FF63BE7B"/>
      </colorScale>
    </cfRule>
  </conditionalFormatting>
  <conditionalFormatting sqref="K109:R109">
    <cfRule type="colorScale" priority="730">
      <colorScale>
        <cfvo type="min"/>
        <cfvo type="percentile" val="50"/>
        <cfvo type="max"/>
        <color rgb="FFF8696B"/>
        <color rgb="FFFCFCFF"/>
        <color rgb="FF63BE7B"/>
      </colorScale>
    </cfRule>
  </conditionalFormatting>
  <conditionalFormatting sqref="K110:R110">
    <cfRule type="colorScale" priority="729">
      <colorScale>
        <cfvo type="min"/>
        <cfvo type="percentile" val="50"/>
        <cfvo type="max"/>
        <color rgb="FFF8696B"/>
        <color rgb="FFFCFCFF"/>
        <color rgb="FF63BE7B"/>
      </colorScale>
    </cfRule>
  </conditionalFormatting>
  <conditionalFormatting sqref="K111:R111">
    <cfRule type="colorScale" priority="728">
      <colorScale>
        <cfvo type="min"/>
        <cfvo type="percentile" val="50"/>
        <cfvo type="max"/>
        <color rgb="FFF8696B"/>
        <color rgb="FFFCFCFF"/>
        <color rgb="FF63BE7B"/>
      </colorScale>
    </cfRule>
  </conditionalFormatting>
  <conditionalFormatting sqref="K112:R112">
    <cfRule type="colorScale" priority="727">
      <colorScale>
        <cfvo type="min"/>
        <cfvo type="percentile" val="50"/>
        <cfvo type="max"/>
        <color rgb="FFF8696B"/>
        <color rgb="FFFCFCFF"/>
        <color rgb="FF63BE7B"/>
      </colorScale>
    </cfRule>
  </conditionalFormatting>
  <conditionalFormatting sqref="K113:R113">
    <cfRule type="colorScale" priority="726">
      <colorScale>
        <cfvo type="min"/>
        <cfvo type="percentile" val="50"/>
        <cfvo type="max"/>
        <color rgb="FFF8696B"/>
        <color rgb="FFFCFCFF"/>
        <color rgb="FF63BE7B"/>
      </colorScale>
    </cfRule>
  </conditionalFormatting>
  <conditionalFormatting sqref="K114:R114">
    <cfRule type="colorScale" priority="725">
      <colorScale>
        <cfvo type="min"/>
        <cfvo type="percentile" val="50"/>
        <cfvo type="max"/>
        <color rgb="FFF8696B"/>
        <color rgb="FFFCFCFF"/>
        <color rgb="FF63BE7B"/>
      </colorScale>
    </cfRule>
  </conditionalFormatting>
  <conditionalFormatting sqref="K115:R115">
    <cfRule type="colorScale" priority="724">
      <colorScale>
        <cfvo type="min"/>
        <cfvo type="percentile" val="50"/>
        <cfvo type="max"/>
        <color rgb="FFF8696B"/>
        <color rgb="FFFCFCFF"/>
        <color rgb="FF63BE7B"/>
      </colorScale>
    </cfRule>
  </conditionalFormatting>
  <conditionalFormatting sqref="K116:R116">
    <cfRule type="colorScale" priority="723">
      <colorScale>
        <cfvo type="min"/>
        <cfvo type="percentile" val="50"/>
        <cfvo type="max"/>
        <color rgb="FFF8696B"/>
        <color rgb="FFFCFCFF"/>
        <color rgb="FF63BE7B"/>
      </colorScale>
    </cfRule>
  </conditionalFormatting>
  <conditionalFormatting sqref="K117:R117">
    <cfRule type="colorScale" priority="722">
      <colorScale>
        <cfvo type="min"/>
        <cfvo type="percentile" val="50"/>
        <cfvo type="max"/>
        <color rgb="FFF8696B"/>
        <color rgb="FFFCFCFF"/>
        <color rgb="FF63BE7B"/>
      </colorScale>
    </cfRule>
  </conditionalFormatting>
  <conditionalFormatting sqref="K118:R118">
    <cfRule type="colorScale" priority="721">
      <colorScale>
        <cfvo type="min"/>
        <cfvo type="percentile" val="50"/>
        <cfvo type="max"/>
        <color rgb="FFF8696B"/>
        <color rgb="FFFCFCFF"/>
        <color rgb="FF63BE7B"/>
      </colorScale>
    </cfRule>
  </conditionalFormatting>
  <conditionalFormatting sqref="AC4:AC118">
    <cfRule type="cellIs" dxfId="13" priority="8" operator="notBetween">
      <formula>-0.3</formula>
      <formula>0.3</formula>
    </cfRule>
  </conditionalFormatting>
  <conditionalFormatting sqref="BB4:BB118">
    <cfRule type="cellIs" dxfId="12" priority="1" operator="notBetween">
      <formula>-0.3</formula>
      <formula>0.3</formula>
    </cfRule>
  </conditionalFormatting>
  <conditionalFormatting sqref="AW4:AW118">
    <cfRule type="cellIs" dxfId="11" priority="2" operator="notBetween">
      <formula>-0.3</formula>
      <formula>0.3</formula>
    </cfRule>
  </conditionalFormatting>
  <conditionalFormatting sqref="AM4:AM118">
    <cfRule type="cellIs" dxfId="10" priority="5" operator="notBetween">
      <formula>-0.3</formula>
      <formula>0.3</formula>
    </cfRule>
  </conditionalFormatting>
  <conditionalFormatting sqref="AH4:AH118">
    <cfRule type="cellIs" dxfId="9" priority="4" operator="notBetween">
      <formula>-0.3</formula>
      <formula>0.3</formula>
    </cfRule>
  </conditionalFormatting>
  <conditionalFormatting sqref="AR4:AR118">
    <cfRule type="cellIs" dxfId="8" priority="3" operator="notBetween">
      <formula>-0.3</formula>
      <formula>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M118"/>
  <sheetViews>
    <sheetView tabSelected="1" topLeftCell="U1" zoomScale="125" workbookViewId="0">
      <pane ySplit="1" topLeftCell="A2" activePane="bottomLeft" state="frozen"/>
      <selection activeCell="S1" sqref="S1"/>
      <selection pane="bottomLeft" activeCell="AA4" sqref="AA4"/>
    </sheetView>
  </sheetViews>
  <sheetFormatPr baseColWidth="10" defaultColWidth="8.83203125" defaultRowHeight="15" x14ac:dyDescent="0.2"/>
  <cols>
    <col min="1" max="1" width="29.5" style="9" bestFit="1" customWidth="1"/>
    <col min="12" max="12" width="29.5" style="9" bestFit="1" customWidth="1"/>
    <col min="22" max="26" width="8.83203125" style="3"/>
    <col min="27" max="27" width="29.5" style="6" bestFit="1" customWidth="1"/>
    <col min="28" max="31" width="8.83203125" style="3"/>
    <col min="32" max="32" width="29.5" style="6" bestFit="1" customWidth="1"/>
    <col min="33" max="36" width="8.83203125" style="3"/>
    <col min="37" max="37" width="29.5" style="6" bestFit="1" customWidth="1"/>
    <col min="38" max="41" width="8.83203125" style="3"/>
    <col min="42" max="42" width="29.5" style="6" bestFit="1" customWidth="1"/>
    <col min="43" max="46" width="8.83203125" style="3"/>
    <col min="47" max="47" width="29.5" style="6" bestFit="1" customWidth="1"/>
    <col min="48" max="51" width="8.83203125" style="3"/>
    <col min="52" max="52" width="29.5" style="6" bestFit="1" customWidth="1"/>
    <col min="53" max="55" width="8.83203125" style="3"/>
    <col min="57" max="57" width="29.5" bestFit="1" customWidth="1"/>
    <col min="62" max="62" width="29.5" bestFit="1" customWidth="1"/>
  </cols>
  <sheetData>
    <row r="1" spans="1:65" s="23" customFormat="1" ht="144" x14ac:dyDescent="0.2">
      <c r="A1" s="22"/>
      <c r="L1" s="22"/>
      <c r="V1" s="19"/>
      <c r="W1" s="19"/>
      <c r="X1" s="19"/>
      <c r="Y1" s="19"/>
      <c r="Z1" s="19"/>
      <c r="AA1" s="20" t="s">
        <v>130</v>
      </c>
      <c r="AB1" s="19"/>
      <c r="AC1" s="19"/>
      <c r="AD1" s="24">
        <v>0.28599999999999998</v>
      </c>
      <c r="AE1" s="19"/>
      <c r="AF1" s="20" t="s">
        <v>131</v>
      </c>
      <c r="AG1" s="19"/>
      <c r="AH1" s="19"/>
      <c r="AI1" s="24">
        <v>0.11700000000000001</v>
      </c>
      <c r="AJ1" s="19"/>
      <c r="AK1" s="20" t="s">
        <v>125</v>
      </c>
      <c r="AL1" s="19"/>
      <c r="AM1" s="19"/>
      <c r="AN1" s="24">
        <v>1.4E-2</v>
      </c>
      <c r="AO1" s="19"/>
      <c r="AP1" s="20" t="s">
        <v>124</v>
      </c>
      <c r="AQ1" s="19"/>
      <c r="AR1" s="19"/>
      <c r="AS1" s="24">
        <v>5.0000000000000001E-4</v>
      </c>
      <c r="AT1" s="19"/>
      <c r="AU1" s="20" t="s">
        <v>132</v>
      </c>
      <c r="AV1" s="19"/>
      <c r="AW1" s="19"/>
      <c r="AX1" s="24">
        <v>0.18099999999999999</v>
      </c>
      <c r="AY1" s="19"/>
      <c r="AZ1" s="20" t="s">
        <v>133</v>
      </c>
      <c r="BA1" s="19"/>
      <c r="BB1" s="19"/>
      <c r="BC1" s="24">
        <v>9.1999999999999998E-2</v>
      </c>
      <c r="BE1" s="23" t="s">
        <v>134</v>
      </c>
      <c r="BH1" s="25">
        <v>6.5000000000000002E-2</v>
      </c>
      <c r="BJ1" s="23" t="s">
        <v>135</v>
      </c>
      <c r="BM1" s="25">
        <v>0.24</v>
      </c>
    </row>
    <row r="2" spans="1:65" x14ac:dyDescent="0.2">
      <c r="L2" s="6"/>
      <c r="M2" s="8" t="s">
        <v>117</v>
      </c>
      <c r="N2" s="8"/>
      <c r="O2" s="8"/>
      <c r="P2" s="8"/>
      <c r="Q2" s="8"/>
      <c r="R2" s="8"/>
      <c r="AB2" s="3">
        <v>0</v>
      </c>
      <c r="AG2" s="3">
        <v>1</v>
      </c>
      <c r="AL2" s="3">
        <v>2</v>
      </c>
      <c r="AQ2" s="3">
        <v>3</v>
      </c>
      <c r="AV2" s="3">
        <v>4</v>
      </c>
      <c r="BA2" s="3">
        <v>5</v>
      </c>
      <c r="BE2" s="6"/>
      <c r="BF2" s="3">
        <v>6</v>
      </c>
      <c r="BG2" s="3"/>
      <c r="BH2" s="3"/>
      <c r="BJ2" s="6"/>
      <c r="BK2" s="3">
        <v>7</v>
      </c>
      <c r="BL2" s="3"/>
      <c r="BM2" s="3"/>
    </row>
    <row r="3" spans="1:65" x14ac:dyDescent="0.2">
      <c r="B3" s="2">
        <v>0</v>
      </c>
      <c r="C3" s="2">
        <v>1</v>
      </c>
      <c r="D3" s="2">
        <v>2</v>
      </c>
      <c r="E3" s="2">
        <v>3</v>
      </c>
      <c r="F3" s="2">
        <v>4</v>
      </c>
      <c r="G3" s="2">
        <v>5</v>
      </c>
      <c r="H3" s="2">
        <v>6</v>
      </c>
      <c r="I3" s="2">
        <v>7</v>
      </c>
      <c r="J3" s="2" t="s">
        <v>123</v>
      </c>
      <c r="L3" s="6"/>
      <c r="M3" s="1">
        <v>0</v>
      </c>
      <c r="N3" s="1">
        <v>1</v>
      </c>
      <c r="O3" s="1">
        <v>2</v>
      </c>
      <c r="P3" s="1">
        <v>3</v>
      </c>
      <c r="Q3" s="1">
        <v>4</v>
      </c>
      <c r="R3" s="1">
        <v>5</v>
      </c>
      <c r="S3" s="1">
        <v>6</v>
      </c>
      <c r="T3" s="1">
        <v>7</v>
      </c>
      <c r="X3" s="4" t="s">
        <v>118</v>
      </c>
      <c r="Y3" s="4" t="s">
        <v>119</v>
      </c>
      <c r="AB3" s="14" t="s">
        <v>120</v>
      </c>
      <c r="AC3" s="15" t="s">
        <v>121</v>
      </c>
      <c r="AD3" s="16" t="s">
        <v>122</v>
      </c>
      <c r="AG3" s="14" t="s">
        <v>120</v>
      </c>
      <c r="AH3" s="15" t="s">
        <v>121</v>
      </c>
      <c r="AI3" s="16" t="s">
        <v>122</v>
      </c>
      <c r="AL3" s="14" t="s">
        <v>120</v>
      </c>
      <c r="AM3" s="15" t="s">
        <v>121</v>
      </c>
      <c r="AN3" s="16" t="s">
        <v>122</v>
      </c>
      <c r="AQ3" s="14" t="s">
        <v>120</v>
      </c>
      <c r="AR3" s="15" t="s">
        <v>121</v>
      </c>
      <c r="AS3" s="16" t="s">
        <v>122</v>
      </c>
      <c r="AV3" s="14" t="s">
        <v>120</v>
      </c>
      <c r="AW3" s="15" t="s">
        <v>121</v>
      </c>
      <c r="AX3" s="16" t="s">
        <v>122</v>
      </c>
      <c r="BA3" s="14" t="s">
        <v>120</v>
      </c>
      <c r="BB3" s="15" t="s">
        <v>121</v>
      </c>
      <c r="BC3" s="16" t="s">
        <v>122</v>
      </c>
      <c r="BE3" s="6"/>
      <c r="BF3" s="14" t="s">
        <v>120</v>
      </c>
      <c r="BG3" s="15" t="s">
        <v>121</v>
      </c>
      <c r="BH3" s="16" t="s">
        <v>122</v>
      </c>
      <c r="BJ3" s="6"/>
      <c r="BK3" s="14" t="s">
        <v>120</v>
      </c>
      <c r="BL3" s="15" t="s">
        <v>121</v>
      </c>
      <c r="BM3" s="16" t="s">
        <v>122</v>
      </c>
    </row>
    <row r="4" spans="1:65" x14ac:dyDescent="0.2">
      <c r="A4" s="10" t="s">
        <v>0</v>
      </c>
      <c r="B4" s="12">
        <v>4.2024163894239189E-3</v>
      </c>
      <c r="C4" s="12">
        <v>4.2753313381787093E-3</v>
      </c>
      <c r="D4" s="12">
        <v>5.2631578947368418E-2</v>
      </c>
      <c r="E4" s="12">
        <v>9.9009900990099011E-3</v>
      </c>
      <c r="F4" s="12">
        <v>3.590168461750897E-3</v>
      </c>
      <c r="G4" s="12">
        <v>9.2997811816192561E-3</v>
      </c>
      <c r="H4" s="12">
        <v>6.1585835257890681E-3</v>
      </c>
      <c r="I4" s="12">
        <v>3.5527690700104492E-3</v>
      </c>
      <c r="J4" s="13">
        <v>5.2579999999999997E-3</v>
      </c>
      <c r="L4" s="7" t="s">
        <v>0</v>
      </c>
      <c r="M4" s="11">
        <f>B4-$J4</f>
        <v>-1.0555836105760807E-3</v>
      </c>
      <c r="N4" s="11">
        <f t="shared" ref="N4:T4" si="0">C4-$J4</f>
        <v>-9.8266866182129039E-4</v>
      </c>
      <c r="O4" s="11">
        <f t="shared" si="0"/>
        <v>4.7373578947368419E-2</v>
      </c>
      <c r="P4" s="11">
        <f t="shared" si="0"/>
        <v>4.6429900990099015E-3</v>
      </c>
      <c r="Q4" s="11">
        <f t="shared" si="0"/>
        <v>-1.6678315382491027E-3</v>
      </c>
      <c r="R4" s="11">
        <f t="shared" si="0"/>
        <v>4.0417811816192565E-3</v>
      </c>
      <c r="S4" s="11">
        <f t="shared" si="0"/>
        <v>9.0058352578906847E-4</v>
      </c>
      <c r="T4" s="11">
        <f t="shared" si="0"/>
        <v>-1.7052309299895505E-3</v>
      </c>
      <c r="V4" s="3">
        <v>1</v>
      </c>
      <c r="W4" s="4" t="s">
        <v>0</v>
      </c>
      <c r="X4" s="5">
        <v>5.2579999999999997E-3</v>
      </c>
      <c r="Y4" s="5">
        <v>7.2323999999999999E-2</v>
      </c>
      <c r="AA4" s="7" t="s">
        <v>105</v>
      </c>
      <c r="AB4" s="15">
        <v>0.42229732095955441</v>
      </c>
      <c r="AC4" s="15">
        <v>9.0666320959554403E-2</v>
      </c>
      <c r="AD4" s="15">
        <v>0.48126417766972274</v>
      </c>
      <c r="AF4" s="7" t="s">
        <v>13</v>
      </c>
      <c r="AG4" s="15">
        <v>2.6400171013253528</v>
      </c>
      <c r="AH4" s="15">
        <v>1.2526171013253529</v>
      </c>
      <c r="AI4" s="15">
        <v>1.824980151208385</v>
      </c>
      <c r="AK4" s="7" t="s">
        <v>102</v>
      </c>
      <c r="AL4" s="15">
        <v>1</v>
      </c>
      <c r="AM4" s="15">
        <v>0.98562799999999995</v>
      </c>
      <c r="AN4" s="15">
        <v>8.280987708258067</v>
      </c>
      <c r="AP4" s="7" t="s">
        <v>112</v>
      </c>
      <c r="AQ4" s="15">
        <v>1</v>
      </c>
      <c r="AR4" s="15">
        <v>0.994892</v>
      </c>
      <c r="AS4" s="15">
        <v>13.955757550253194</v>
      </c>
      <c r="AU4" s="7" t="s">
        <v>72</v>
      </c>
      <c r="AV4" s="15">
        <v>5.0527478597072628</v>
      </c>
      <c r="AW4" s="15">
        <v>1.9276038597072627</v>
      </c>
      <c r="AX4" s="15">
        <v>1.1249072021737478</v>
      </c>
      <c r="AZ4" s="7" t="s">
        <v>106</v>
      </c>
      <c r="BA4" s="15">
        <v>2.3538566739606099</v>
      </c>
      <c r="BB4" s="15">
        <v>1.3095756739606099</v>
      </c>
      <c r="BC4" s="15">
        <v>1.3978081179839956</v>
      </c>
      <c r="BE4" s="7" t="s">
        <v>104</v>
      </c>
      <c r="BF4" s="15">
        <v>9.9522709776751025E-2</v>
      </c>
      <c r="BG4" s="15">
        <v>6.9777709776751018E-2</v>
      </c>
      <c r="BH4" s="15">
        <v>2.443967278790621</v>
      </c>
      <c r="BJ4" s="7" t="s">
        <v>71</v>
      </c>
      <c r="BK4" s="15">
        <v>1.6566353187042839</v>
      </c>
      <c r="BL4" s="15">
        <v>0.66810331870428397</v>
      </c>
      <c r="BM4" s="15">
        <v>0.82358252142990762</v>
      </c>
    </row>
    <row r="5" spans="1:65" x14ac:dyDescent="0.2">
      <c r="A5" s="10" t="s">
        <v>1</v>
      </c>
      <c r="B5" s="12">
        <v>0.15741551392050429</v>
      </c>
      <c r="C5" s="12">
        <v>0.1351004702864472</v>
      </c>
      <c r="D5" s="12">
        <v>0.1789473684210526</v>
      </c>
      <c r="E5" s="12">
        <v>0.12871287128712869</v>
      </c>
      <c r="F5" s="12">
        <v>0.14222590444628561</v>
      </c>
      <c r="G5" s="12">
        <v>0.1586433260393873</v>
      </c>
      <c r="H5" s="12">
        <v>0.15858352578906851</v>
      </c>
      <c r="I5" s="12">
        <v>0.14838035527690699</v>
      </c>
      <c r="J5" s="13">
        <v>0.15023300000000001</v>
      </c>
      <c r="L5" s="7" t="s">
        <v>1</v>
      </c>
      <c r="M5" s="11">
        <f t="shared" ref="M5:M68" si="1">B5-$J5</f>
        <v>7.1825139205042854E-3</v>
      </c>
      <c r="N5" s="11">
        <f t="shared" ref="N5:N68" si="2">C5-$J5</f>
        <v>-1.5132529713552806E-2</v>
      </c>
      <c r="O5" s="11">
        <f t="shared" ref="O5:O68" si="3">D5-$J5</f>
        <v>2.87143684210526E-2</v>
      </c>
      <c r="P5" s="11">
        <f t="shared" ref="P5:P68" si="4">E5-$J5</f>
        <v>-2.1520128712871317E-2</v>
      </c>
      <c r="Q5" s="11">
        <f t="shared" ref="Q5:Q68" si="5">F5-$J5</f>
        <v>-8.0070955537143995E-3</v>
      </c>
      <c r="R5" s="11">
        <f t="shared" ref="R5:R68" si="6">G5-$J5</f>
        <v>8.4103260393872947E-3</v>
      </c>
      <c r="S5" s="11">
        <f t="shared" ref="S5:S68" si="7">H5-$J5</f>
        <v>8.3505257890685025E-3</v>
      </c>
      <c r="T5" s="11">
        <f t="shared" ref="T5:T68" si="8">I5-$J5</f>
        <v>-1.8526447230930165E-3</v>
      </c>
      <c r="V5" s="3">
        <v>2</v>
      </c>
      <c r="W5" s="4" t="s">
        <v>1</v>
      </c>
      <c r="X5" s="5">
        <v>0.15023300000000001</v>
      </c>
      <c r="Y5" s="5">
        <v>0.35730800000000001</v>
      </c>
      <c r="AA5" s="7" t="s">
        <v>57</v>
      </c>
      <c r="AB5" s="15">
        <v>0.68464367011031346</v>
      </c>
      <c r="AC5" s="15">
        <v>0.16674067011031346</v>
      </c>
      <c r="AD5" s="15">
        <v>0.33368689134569585</v>
      </c>
      <c r="AF5" s="7" t="s">
        <v>50</v>
      </c>
      <c r="AG5" s="15">
        <v>0.60795211628901236</v>
      </c>
      <c r="AH5" s="15">
        <v>0.22115211628901238</v>
      </c>
      <c r="AI5" s="15">
        <v>0.45408408182882826</v>
      </c>
      <c r="AK5" s="7" t="s">
        <v>114</v>
      </c>
      <c r="AL5" s="15">
        <v>1</v>
      </c>
      <c r="AM5" s="15">
        <v>0.98562799999999995</v>
      </c>
      <c r="AN5" s="15">
        <v>8.280987708258067</v>
      </c>
      <c r="AP5" s="7" t="s">
        <v>113</v>
      </c>
      <c r="AQ5" s="15">
        <v>1.5148514851485151</v>
      </c>
      <c r="AR5" s="15">
        <v>1.5071394851485151</v>
      </c>
      <c r="AS5" s="15">
        <v>12.279322501169281</v>
      </c>
      <c r="AU5" s="7" t="s">
        <v>81</v>
      </c>
      <c r="AV5" s="15">
        <v>0.31510632421982882</v>
      </c>
      <c r="AW5" s="15">
        <v>0.20283232421982883</v>
      </c>
      <c r="AX5" s="15">
        <v>0.64246201183939999</v>
      </c>
      <c r="AZ5" s="7" t="s">
        <v>59</v>
      </c>
      <c r="BA5" s="15">
        <v>0.6783369803063457</v>
      </c>
      <c r="BB5" s="15">
        <v>0.37571798030634568</v>
      </c>
      <c r="BC5" s="15">
        <v>0.81783963166619655</v>
      </c>
      <c r="BE5" s="7" t="s">
        <v>105</v>
      </c>
      <c r="BF5" s="15">
        <v>0.75716705157813791</v>
      </c>
      <c r="BG5" s="15">
        <v>0.4255360515781379</v>
      </c>
      <c r="BH5" s="15">
        <v>2.2587798397922305</v>
      </c>
      <c r="BJ5" s="7" t="s">
        <v>73</v>
      </c>
      <c r="BK5" s="15">
        <v>0.32225705329153598</v>
      </c>
      <c r="BL5" s="15">
        <v>0.12580205329153599</v>
      </c>
      <c r="BM5" s="15">
        <v>0.31662174962508366</v>
      </c>
    </row>
    <row r="6" spans="1:65" x14ac:dyDescent="0.2">
      <c r="A6" s="10" t="s">
        <v>2</v>
      </c>
      <c r="B6" s="12">
        <v>0.1679215548940641</v>
      </c>
      <c r="C6" s="12">
        <v>0.17315091919623771</v>
      </c>
      <c r="D6" s="12">
        <v>0.10175438596491231</v>
      </c>
      <c r="E6" s="12">
        <v>0.18811881188118809</v>
      </c>
      <c r="F6" s="12">
        <v>0.1775752554542944</v>
      </c>
      <c r="G6" s="12">
        <v>0.15317286652078771</v>
      </c>
      <c r="H6" s="12">
        <v>0.17013086989992299</v>
      </c>
      <c r="I6" s="12">
        <v>0.17032392894461859</v>
      </c>
      <c r="J6" s="13">
        <v>0.16881199999999999</v>
      </c>
      <c r="L6" s="7" t="s">
        <v>2</v>
      </c>
      <c r="M6" s="11">
        <f t="shared" si="1"/>
        <v>-8.9044510593588866E-4</v>
      </c>
      <c r="N6" s="11">
        <f t="shared" si="2"/>
        <v>4.3389191962377172E-3</v>
      </c>
      <c r="O6" s="11">
        <f t="shared" si="3"/>
        <v>-6.7057614035087684E-2</v>
      </c>
      <c r="P6" s="11">
        <f t="shared" si="4"/>
        <v>1.9306811881188102E-2</v>
      </c>
      <c r="Q6" s="11">
        <f t="shared" si="5"/>
        <v>8.7632554542944052E-3</v>
      </c>
      <c r="R6" s="11">
        <f t="shared" si="6"/>
        <v>-1.563913347921228E-2</v>
      </c>
      <c r="S6" s="11">
        <f t="shared" si="7"/>
        <v>1.3188698999229975E-3</v>
      </c>
      <c r="T6" s="11">
        <f t="shared" si="8"/>
        <v>1.5119289446186013E-3</v>
      </c>
      <c r="V6" s="3">
        <v>3</v>
      </c>
      <c r="W6" s="4" t="s">
        <v>2</v>
      </c>
      <c r="X6" s="5">
        <v>0.16881199999999999</v>
      </c>
      <c r="Y6" s="5">
        <v>0.37459500000000001</v>
      </c>
      <c r="AA6" s="7" t="s">
        <v>104</v>
      </c>
      <c r="AB6" s="15">
        <v>3.6720364209420799E-2</v>
      </c>
      <c r="AC6" s="15">
        <v>6.9753642094207979E-3</v>
      </c>
      <c r="AD6" s="15">
        <v>0.24431243071769107</v>
      </c>
      <c r="AF6" s="7" t="s">
        <v>42</v>
      </c>
      <c r="AG6" s="15">
        <v>0.19495510902094909</v>
      </c>
      <c r="AH6" s="15">
        <v>0.10887210902094908</v>
      </c>
      <c r="AI6" s="15">
        <v>0.38814416358620535</v>
      </c>
      <c r="AK6" s="7" t="s">
        <v>0</v>
      </c>
      <c r="AL6" s="15">
        <v>5.2631578947368418E-2</v>
      </c>
      <c r="AM6" s="15">
        <v>4.7373578947368419E-2</v>
      </c>
      <c r="AN6" s="15">
        <v>0.65501878971528704</v>
      </c>
      <c r="AP6" s="7" t="s">
        <v>110</v>
      </c>
      <c r="AQ6" s="15">
        <v>0.63366336633663367</v>
      </c>
      <c r="AR6" s="15">
        <v>0.63045836633663366</v>
      </c>
      <c r="AS6" s="15">
        <v>11.154014584092028</v>
      </c>
      <c r="AU6" s="7" t="s">
        <v>71</v>
      </c>
      <c r="AV6" s="15">
        <v>1.436895885114609</v>
      </c>
      <c r="AW6" s="15">
        <v>0.44836388511460901</v>
      </c>
      <c r="AX6" s="15">
        <v>0.552705919403228</v>
      </c>
      <c r="AZ6" s="7" t="s">
        <v>45</v>
      </c>
      <c r="BA6" s="15">
        <v>0.35120350109409187</v>
      </c>
      <c r="BB6" s="15">
        <v>0.22445750109409188</v>
      </c>
      <c r="BC6" s="15">
        <v>0.67466043004322807</v>
      </c>
      <c r="BE6" s="7" t="s">
        <v>106</v>
      </c>
      <c r="BF6" s="15">
        <v>2.8969745958429569</v>
      </c>
      <c r="BG6" s="15">
        <v>1.8526935958429569</v>
      </c>
      <c r="BH6" s="15">
        <v>1.977518519853126</v>
      </c>
      <c r="BJ6" s="7" t="s">
        <v>74</v>
      </c>
      <c r="BK6" s="15">
        <v>0.26185997910135839</v>
      </c>
      <c r="BL6" s="15">
        <v>0.10161197910135839</v>
      </c>
      <c r="BM6" s="15">
        <v>0.27698886205715872</v>
      </c>
    </row>
    <row r="7" spans="1:65" x14ac:dyDescent="0.2">
      <c r="A7" s="10" t="s">
        <v>3</v>
      </c>
      <c r="B7" s="12">
        <v>0.15934162143232361</v>
      </c>
      <c r="C7" s="12">
        <v>0.16460025651988031</v>
      </c>
      <c r="D7" s="12">
        <v>0.10175438596491231</v>
      </c>
      <c r="E7" s="12">
        <v>0.1386138613861386</v>
      </c>
      <c r="F7" s="12">
        <v>0.16956641811654241</v>
      </c>
      <c r="G7" s="12">
        <v>0.15207877461706781</v>
      </c>
      <c r="H7" s="12">
        <v>0.1693610469591994</v>
      </c>
      <c r="I7" s="12">
        <v>0.17366771159874611</v>
      </c>
      <c r="J7" s="13">
        <v>0.16430500000000001</v>
      </c>
      <c r="L7" s="7" t="s">
        <v>3</v>
      </c>
      <c r="M7" s="11">
        <f t="shared" si="1"/>
        <v>-4.9633785676763964E-3</v>
      </c>
      <c r="N7" s="11">
        <f t="shared" si="2"/>
        <v>2.9525651988029922E-4</v>
      </c>
      <c r="O7" s="11">
        <f t="shared" si="3"/>
        <v>-6.2550614035087701E-2</v>
      </c>
      <c r="P7" s="11">
        <f t="shared" si="4"/>
        <v>-2.5691138613861408E-2</v>
      </c>
      <c r="Q7" s="11">
        <f t="shared" si="5"/>
        <v>5.2614181165424045E-3</v>
      </c>
      <c r="R7" s="11">
        <f t="shared" si="6"/>
        <v>-1.2226225382932193E-2</v>
      </c>
      <c r="S7" s="11">
        <f t="shared" si="7"/>
        <v>5.0560469591993951E-3</v>
      </c>
      <c r="T7" s="11">
        <f t="shared" si="8"/>
        <v>9.362711598746104E-3</v>
      </c>
      <c r="V7" s="3">
        <v>4</v>
      </c>
      <c r="W7" s="4" t="s">
        <v>3</v>
      </c>
      <c r="X7" s="5">
        <v>0.16430500000000001</v>
      </c>
      <c r="Y7" s="5">
        <v>0.37056099999999997</v>
      </c>
      <c r="AA7" s="7" t="s">
        <v>44</v>
      </c>
      <c r="AB7" s="15">
        <v>0.32358606198564183</v>
      </c>
      <c r="AC7" s="15">
        <v>6.7940061985641842E-2</v>
      </c>
      <c r="AD7" s="15">
        <v>0.15574188679414042</v>
      </c>
      <c r="AF7" s="7" t="s">
        <v>68</v>
      </c>
      <c r="AG7" s="15">
        <v>0.21120136810602819</v>
      </c>
      <c r="AH7" s="15">
        <v>9.452036810602818E-2</v>
      </c>
      <c r="AI7" s="15">
        <v>0.2944119511911869</v>
      </c>
      <c r="AK7" s="7" t="s">
        <v>6</v>
      </c>
      <c r="AL7" s="15">
        <v>0.36491228070175441</v>
      </c>
      <c r="AM7" s="15">
        <v>0.19800328070175441</v>
      </c>
      <c r="AN7" s="15">
        <v>0.53097655348763861</v>
      </c>
      <c r="AP7" s="7" t="s">
        <v>111</v>
      </c>
      <c r="AQ7" s="15">
        <v>6.9306930693069313E-2</v>
      </c>
      <c r="AR7" s="15">
        <v>6.8955930693069309E-2</v>
      </c>
      <c r="AS7" s="15">
        <v>3.6835433062537022</v>
      </c>
      <c r="AU7" s="7" t="s">
        <v>84</v>
      </c>
      <c r="AV7" s="15">
        <v>0.14194973764153551</v>
      </c>
      <c r="AW7" s="15">
        <v>0.10253873764153551</v>
      </c>
      <c r="AX7" s="15">
        <v>0.52698553594243647</v>
      </c>
      <c r="AZ7" s="7" t="s">
        <v>53</v>
      </c>
      <c r="BA7" s="15">
        <v>0.1591903719912473</v>
      </c>
      <c r="BB7" s="15">
        <v>0.1218323719912473</v>
      </c>
      <c r="BC7" s="15">
        <v>0.64243349042536624</v>
      </c>
      <c r="BE7" s="7" t="s">
        <v>58</v>
      </c>
      <c r="BF7" s="15">
        <v>0.32563510392609701</v>
      </c>
      <c r="BG7" s="15">
        <v>0.29724110392609704</v>
      </c>
      <c r="BH7" s="15">
        <v>1.7895310290553705</v>
      </c>
      <c r="BJ7" s="7" t="s">
        <v>99</v>
      </c>
      <c r="BK7" s="15">
        <v>0.57032392894461859</v>
      </c>
      <c r="BL7" s="15">
        <v>0.11026092894461859</v>
      </c>
      <c r="BM7" s="15">
        <v>0.22122313522790965</v>
      </c>
    </row>
    <row r="8" spans="1:65" x14ac:dyDescent="0.2">
      <c r="A8" s="10" t="s">
        <v>4</v>
      </c>
      <c r="B8" s="12">
        <v>0.15268779548240241</v>
      </c>
      <c r="C8" s="12">
        <v>0.16716545532278751</v>
      </c>
      <c r="D8" s="12">
        <v>8.771929824561403E-2</v>
      </c>
      <c r="E8" s="12">
        <v>0.11881188118811881</v>
      </c>
      <c r="F8" s="12">
        <v>0.16846175089754209</v>
      </c>
      <c r="G8" s="12">
        <v>0.16247264770240699</v>
      </c>
      <c r="H8" s="12">
        <v>0.15858352578906851</v>
      </c>
      <c r="I8" s="12">
        <v>0.15882967607105539</v>
      </c>
      <c r="J8" s="13">
        <v>0.15889600000000001</v>
      </c>
      <c r="L8" s="7" t="s">
        <v>4</v>
      </c>
      <c r="M8" s="11">
        <f t="shared" si="1"/>
        <v>-6.2082045175975986E-3</v>
      </c>
      <c r="N8" s="11">
        <f t="shared" si="2"/>
        <v>8.2694553227875001E-3</v>
      </c>
      <c r="O8" s="11">
        <f t="shared" si="3"/>
        <v>-7.1176701754385979E-2</v>
      </c>
      <c r="P8" s="11">
        <f t="shared" si="4"/>
        <v>-4.0084118811881203E-2</v>
      </c>
      <c r="Q8" s="11">
        <f t="shared" si="5"/>
        <v>9.5657508975420802E-3</v>
      </c>
      <c r="R8" s="11">
        <f t="shared" si="6"/>
        <v>3.576647702406982E-3</v>
      </c>
      <c r="S8" s="11">
        <f t="shared" si="7"/>
        <v>-3.1247421093150152E-4</v>
      </c>
      <c r="T8" s="11">
        <f t="shared" si="8"/>
        <v>-6.632392894462269E-5</v>
      </c>
      <c r="V8" s="3">
        <v>5</v>
      </c>
      <c r="W8" s="4" t="s">
        <v>4</v>
      </c>
      <c r="X8" s="5">
        <v>0.15889600000000001</v>
      </c>
      <c r="Y8" s="5">
        <v>0.365589</v>
      </c>
      <c r="AA8" s="7" t="s">
        <v>9</v>
      </c>
      <c r="AB8" s="15">
        <v>0.57800735422868155</v>
      </c>
      <c r="AC8" s="15">
        <v>7.7381354228681531E-2</v>
      </c>
      <c r="AD8" s="15">
        <v>0.15475899424150127</v>
      </c>
      <c r="AF8" s="7" t="s">
        <v>43</v>
      </c>
      <c r="AG8" s="15">
        <v>7.524583155194528E-2</v>
      </c>
      <c r="AH8" s="15">
        <v>4.509883155194528E-2</v>
      </c>
      <c r="AI8" s="15">
        <v>0.26374356882917793</v>
      </c>
      <c r="AK8" s="7" t="s">
        <v>10</v>
      </c>
      <c r="AL8" s="15">
        <v>0.59649122807017541</v>
      </c>
      <c r="AM8" s="15">
        <v>0.12791522807017541</v>
      </c>
      <c r="AN8" s="15">
        <v>0.25633081388906226</v>
      </c>
      <c r="AP8" s="7" t="s">
        <v>108</v>
      </c>
      <c r="AQ8" s="15">
        <v>0.65346534653465349</v>
      </c>
      <c r="AR8" s="15">
        <v>0.58716234653465349</v>
      </c>
      <c r="AS8" s="15">
        <v>2.3598160356191635</v>
      </c>
      <c r="AU8" s="7" t="s">
        <v>78</v>
      </c>
      <c r="AV8" s="15">
        <v>0.31510632421982882</v>
      </c>
      <c r="AW8" s="15">
        <v>0.15971532421982881</v>
      </c>
      <c r="AX8" s="15">
        <v>0.4408542538762989</v>
      </c>
      <c r="AZ8" s="7" t="s">
        <v>49</v>
      </c>
      <c r="BA8" s="15">
        <v>0.62417943107221008</v>
      </c>
      <c r="BB8" s="15">
        <v>0.2666254310722101</v>
      </c>
      <c r="BC8" s="15">
        <v>0.55629017607681763</v>
      </c>
      <c r="BE8" s="7" t="s">
        <v>103</v>
      </c>
      <c r="BF8" s="15">
        <v>0.32563510392609701</v>
      </c>
      <c r="BG8" s="15">
        <v>0.29724110392609704</v>
      </c>
      <c r="BH8" s="15">
        <v>1.7895310290553705</v>
      </c>
      <c r="BJ8" s="7" t="s">
        <v>50</v>
      </c>
      <c r="BK8" s="15">
        <v>0.47293625914315568</v>
      </c>
      <c r="BL8" s="15">
        <v>8.6136259143155702E-2</v>
      </c>
      <c r="BM8" s="15">
        <v>0.17686063692953746</v>
      </c>
    </row>
    <row r="9" spans="1:65" x14ac:dyDescent="0.2">
      <c r="A9" s="10" t="s">
        <v>5</v>
      </c>
      <c r="B9" s="12">
        <v>0.1810541061110138</v>
      </c>
      <c r="C9" s="12">
        <v>0.1748610517315092</v>
      </c>
      <c r="D9" s="12">
        <v>0.10526315789473679</v>
      </c>
      <c r="E9" s="12">
        <v>0.198019801980198</v>
      </c>
      <c r="F9" s="12">
        <v>0.18033692350179509</v>
      </c>
      <c r="G9" s="12">
        <v>0.17396061269146609</v>
      </c>
      <c r="H9" s="12">
        <v>0.18860662047729021</v>
      </c>
      <c r="I9" s="12">
        <v>0.1732497387669801</v>
      </c>
      <c r="J9" s="13">
        <v>0.177175</v>
      </c>
      <c r="L9" s="7" t="s">
        <v>5</v>
      </c>
      <c r="M9" s="11">
        <f t="shared" si="1"/>
        <v>3.8791061110138025E-3</v>
      </c>
      <c r="N9" s="11">
        <f t="shared" si="2"/>
        <v>-2.3139482684907953E-3</v>
      </c>
      <c r="O9" s="11">
        <f t="shared" si="3"/>
        <v>-7.1911842105263205E-2</v>
      </c>
      <c r="P9" s="11">
        <f t="shared" si="4"/>
        <v>2.0844801980198002E-2</v>
      </c>
      <c r="Q9" s="11">
        <f t="shared" si="5"/>
        <v>3.1619235017950886E-3</v>
      </c>
      <c r="R9" s="11">
        <f t="shared" si="6"/>
        <v>-3.2143873085339059E-3</v>
      </c>
      <c r="S9" s="11">
        <f t="shared" si="7"/>
        <v>1.1431620477290211E-2</v>
      </c>
      <c r="T9" s="11">
        <f t="shared" si="8"/>
        <v>-3.9252612330198944E-3</v>
      </c>
      <c r="V9" s="3">
        <v>6</v>
      </c>
      <c r="W9" s="4" t="s">
        <v>5</v>
      </c>
      <c r="X9" s="5">
        <v>0.177175</v>
      </c>
      <c r="Y9" s="5">
        <v>0.381826</v>
      </c>
      <c r="AA9" s="7" t="s">
        <v>60</v>
      </c>
      <c r="AB9" s="15">
        <v>0.57800735422868155</v>
      </c>
      <c r="AC9" s="15">
        <v>7.7381354228681531E-2</v>
      </c>
      <c r="AD9" s="15">
        <v>0.15475899424150127</v>
      </c>
      <c r="AF9" s="7" t="s">
        <v>48</v>
      </c>
      <c r="AG9" s="15">
        <v>6.3274903805044885E-2</v>
      </c>
      <c r="AH9" s="15">
        <v>3.8586903805044884E-2</v>
      </c>
      <c r="AI9" s="15">
        <v>0.24866380845772815</v>
      </c>
      <c r="AK9" s="7" t="s">
        <v>23</v>
      </c>
      <c r="AL9" s="15">
        <v>2.1052631578947371E-2</v>
      </c>
      <c r="AM9" s="15">
        <v>1.2639631578947371E-2</v>
      </c>
      <c r="AN9" s="15">
        <v>0.13838305610969553</v>
      </c>
      <c r="AP9" s="7" t="s">
        <v>13</v>
      </c>
      <c r="AQ9" s="15">
        <v>2.0990099009900991</v>
      </c>
      <c r="AR9" s="15">
        <v>0.71160990099009913</v>
      </c>
      <c r="AS9" s="15">
        <v>1.0367684932101047</v>
      </c>
      <c r="AU9" s="7" t="s">
        <v>9</v>
      </c>
      <c r="AV9" s="15">
        <v>0.63159348246340785</v>
      </c>
      <c r="AW9" s="15">
        <v>0.13096748246340784</v>
      </c>
      <c r="AX9" s="15">
        <v>0.26192867863852837</v>
      </c>
      <c r="AZ9" s="7" t="s">
        <v>71</v>
      </c>
      <c r="BA9" s="15">
        <v>1.4157549234135669</v>
      </c>
      <c r="BB9" s="15">
        <v>0.42722292341356694</v>
      </c>
      <c r="BC9" s="15">
        <v>0.52664509010370475</v>
      </c>
      <c r="BE9" s="7" t="s">
        <v>52</v>
      </c>
      <c r="BF9" s="15">
        <v>0.36643571978444961</v>
      </c>
      <c r="BG9" s="15">
        <v>0.29106871978444959</v>
      </c>
      <c r="BH9" s="15">
        <v>1.1025789702769797</v>
      </c>
      <c r="BJ9" s="7" t="s">
        <v>93</v>
      </c>
      <c r="BK9" s="15">
        <v>89.373772204806386</v>
      </c>
      <c r="BL9" s="15">
        <v>1.9725752048063896</v>
      </c>
      <c r="BM9" s="15">
        <v>0.16113377692701214</v>
      </c>
    </row>
    <row r="10" spans="1:65" x14ac:dyDescent="0.2">
      <c r="A10" s="10" t="s">
        <v>6</v>
      </c>
      <c r="B10" s="12">
        <v>0.16827175625984939</v>
      </c>
      <c r="C10" s="12">
        <v>0.17015818725951259</v>
      </c>
      <c r="D10" s="12">
        <v>0.36491228070175441</v>
      </c>
      <c r="E10" s="12">
        <v>0.20792079207920791</v>
      </c>
      <c r="F10" s="12">
        <v>0.1513394090030378</v>
      </c>
      <c r="G10" s="12">
        <v>0.17778993435448581</v>
      </c>
      <c r="H10" s="12">
        <v>0.14318706697459591</v>
      </c>
      <c r="I10" s="12">
        <v>0.16509926854754439</v>
      </c>
      <c r="J10" s="13">
        <v>0.166909</v>
      </c>
      <c r="L10" s="7" t="s">
        <v>6</v>
      </c>
      <c r="M10" s="11">
        <f t="shared" si="1"/>
        <v>1.3627562598493848E-3</v>
      </c>
      <c r="N10" s="11">
        <f t="shared" si="2"/>
        <v>3.2491872595125926E-3</v>
      </c>
      <c r="O10" s="11">
        <f t="shared" si="3"/>
        <v>0.19800328070175441</v>
      </c>
      <c r="P10" s="11">
        <f t="shared" si="4"/>
        <v>4.1011792079207909E-2</v>
      </c>
      <c r="Q10" s="11">
        <f t="shared" si="5"/>
        <v>-1.5569590996962202E-2</v>
      </c>
      <c r="R10" s="11">
        <f t="shared" si="6"/>
        <v>1.0880934354485811E-2</v>
      </c>
      <c r="S10" s="11">
        <f t="shared" si="7"/>
        <v>-2.3721933025404096E-2</v>
      </c>
      <c r="T10" s="11">
        <f t="shared" si="8"/>
        <v>-1.8097314524556096E-3</v>
      </c>
      <c r="V10" s="3">
        <v>7</v>
      </c>
      <c r="W10" s="4" t="s">
        <v>6</v>
      </c>
      <c r="X10" s="5">
        <v>0.166909</v>
      </c>
      <c r="Y10" s="5">
        <v>0.37290400000000001</v>
      </c>
      <c r="AA10" s="7" t="s">
        <v>95</v>
      </c>
      <c r="AB10" s="15">
        <v>0.55191735247767471</v>
      </c>
      <c r="AC10" s="15">
        <v>7.6931352477674686E-2</v>
      </c>
      <c r="AD10" s="15">
        <v>0.15405188066480577</v>
      </c>
      <c r="AF10" s="7" t="s">
        <v>67</v>
      </c>
      <c r="AG10" s="15">
        <v>0.18982471141513471</v>
      </c>
      <c r="AH10" s="15">
        <v>7.0038711415134708E-2</v>
      </c>
      <c r="AI10" s="15">
        <v>0.2156902165106899</v>
      </c>
      <c r="AK10" s="7" t="s">
        <v>80</v>
      </c>
      <c r="AL10" s="15">
        <v>5.9649122807017542E-2</v>
      </c>
      <c r="AM10" s="15">
        <v>2.4244122807017543E-2</v>
      </c>
      <c r="AN10" s="15">
        <v>0.13118688141628271</v>
      </c>
      <c r="AP10" s="7" t="s">
        <v>109</v>
      </c>
      <c r="AQ10" s="15">
        <v>0.1386138613861386</v>
      </c>
      <c r="AR10" s="15">
        <v>0.1123228613861386</v>
      </c>
      <c r="AS10" s="15">
        <v>0.70200472107484613</v>
      </c>
      <c r="AU10" s="7" t="s">
        <v>60</v>
      </c>
      <c r="AV10" s="15">
        <v>0.63159348246340785</v>
      </c>
      <c r="AW10" s="15">
        <v>0.13096748246340784</v>
      </c>
      <c r="AX10" s="15">
        <v>0.26192867863852837</v>
      </c>
      <c r="AZ10" s="7" t="s">
        <v>104</v>
      </c>
      <c r="BA10" s="15">
        <v>4.1925601750547097E-2</v>
      </c>
      <c r="BB10" s="15">
        <v>1.2180601750547096E-2</v>
      </c>
      <c r="BC10" s="15">
        <v>0.42662609892988324</v>
      </c>
      <c r="BE10" s="7" t="s">
        <v>59</v>
      </c>
      <c r="BF10" s="15">
        <v>0.71285604311008466</v>
      </c>
      <c r="BG10" s="15">
        <v>0.41023704311008463</v>
      </c>
      <c r="BH10" s="15">
        <v>0.89297858984395972</v>
      </c>
      <c r="BJ10" s="7" t="s">
        <v>54</v>
      </c>
      <c r="BK10" s="15">
        <v>0.14002089864158829</v>
      </c>
      <c r="BL10" s="15">
        <v>4.3721898641588292E-2</v>
      </c>
      <c r="BM10" s="15">
        <v>0.14820530438592819</v>
      </c>
    </row>
    <row r="11" spans="1:65" x14ac:dyDescent="0.2">
      <c r="A11" s="10" t="s">
        <v>7</v>
      </c>
      <c r="B11" s="12">
        <v>9.1052355104184902E-3</v>
      </c>
      <c r="C11" s="12">
        <v>1.0688328345446771E-2</v>
      </c>
      <c r="D11" s="12">
        <v>7.0175438596491229E-3</v>
      </c>
      <c r="E11" s="12">
        <v>9.9009900990099011E-3</v>
      </c>
      <c r="F11" s="12">
        <v>6.9041701187517257E-3</v>
      </c>
      <c r="G11" s="12">
        <v>1.2582056892778991E-2</v>
      </c>
      <c r="H11" s="12">
        <v>5.3887605850654347E-3</v>
      </c>
      <c r="I11" s="12">
        <v>6.8965517241379309E-3</v>
      </c>
      <c r="J11" s="13">
        <v>8.4130000000000003E-3</v>
      </c>
      <c r="L11" s="7" t="s">
        <v>7</v>
      </c>
      <c r="M11" s="11">
        <f t="shared" si="1"/>
        <v>6.9223551041848984E-4</v>
      </c>
      <c r="N11" s="11">
        <f t="shared" si="2"/>
        <v>2.2753283454467702E-3</v>
      </c>
      <c r="O11" s="11">
        <f t="shared" si="3"/>
        <v>-1.3954561403508774E-3</v>
      </c>
      <c r="P11" s="11">
        <f t="shared" si="4"/>
        <v>1.4879900990099008E-3</v>
      </c>
      <c r="Q11" s="11">
        <f t="shared" si="5"/>
        <v>-1.5088298812482746E-3</v>
      </c>
      <c r="R11" s="11">
        <f t="shared" si="6"/>
        <v>4.1690568927789905E-3</v>
      </c>
      <c r="S11" s="11">
        <f t="shared" si="7"/>
        <v>-3.0242394149345656E-3</v>
      </c>
      <c r="T11" s="11">
        <f t="shared" si="8"/>
        <v>-1.5164482758620694E-3</v>
      </c>
      <c r="V11" s="3">
        <v>8</v>
      </c>
      <c r="W11" s="4" t="s">
        <v>7</v>
      </c>
      <c r="X11" s="5">
        <v>8.4130000000000003E-3</v>
      </c>
      <c r="Y11" s="5">
        <v>9.1338000000000003E-2</v>
      </c>
      <c r="AA11" s="7" t="s">
        <v>31</v>
      </c>
      <c r="AB11" s="15">
        <v>0.1703729644545614</v>
      </c>
      <c r="AC11" s="15">
        <v>5.0035964454561405E-2</v>
      </c>
      <c r="AD11" s="15">
        <v>0.15378504763775047</v>
      </c>
      <c r="AF11" s="7" t="s">
        <v>41</v>
      </c>
      <c r="AG11" s="15">
        <v>0.2159042325780248</v>
      </c>
      <c r="AH11" s="15">
        <v>6.9527232578024789E-2</v>
      </c>
      <c r="AI11" s="15">
        <v>0.19668630659737191</v>
      </c>
      <c r="AK11" s="7" t="s">
        <v>59</v>
      </c>
      <c r="AL11" s="15">
        <v>0.36140350877192978</v>
      </c>
      <c r="AM11" s="15">
        <v>5.8784508771929755E-2</v>
      </c>
      <c r="AN11" s="15">
        <v>0.12795847822484779</v>
      </c>
      <c r="AP11" s="7" t="s">
        <v>57</v>
      </c>
      <c r="AQ11" s="15">
        <v>0.86138613861386137</v>
      </c>
      <c r="AR11" s="15">
        <v>0.34348313861386137</v>
      </c>
      <c r="AS11" s="15">
        <v>0.68738970928864451</v>
      </c>
      <c r="AU11" s="7" t="s">
        <v>57</v>
      </c>
      <c r="AV11" s="15">
        <v>0.62137531068765539</v>
      </c>
      <c r="AW11" s="15">
        <v>0.10347231068765539</v>
      </c>
      <c r="AX11" s="15">
        <v>0.20707217783685827</v>
      </c>
      <c r="AZ11" s="7" t="s">
        <v>52</v>
      </c>
      <c r="BA11" s="15">
        <v>0.18490153172866519</v>
      </c>
      <c r="BB11" s="15">
        <v>0.10953453172866519</v>
      </c>
      <c r="BC11" s="15">
        <v>0.41492081764264876</v>
      </c>
      <c r="BE11" s="7" t="s">
        <v>45</v>
      </c>
      <c r="BF11" s="15">
        <v>0.26943802925327182</v>
      </c>
      <c r="BG11" s="15">
        <v>0.14269202925327182</v>
      </c>
      <c r="BH11" s="15">
        <v>0.42889484802469457</v>
      </c>
      <c r="BJ11" s="7" t="s">
        <v>76</v>
      </c>
      <c r="BK11" s="15">
        <v>9.1536050156739809E-2</v>
      </c>
      <c r="BL11" s="15">
        <v>3.1593050156739806E-2</v>
      </c>
      <c r="BM11" s="15">
        <v>0.13308669032735496</v>
      </c>
    </row>
    <row r="12" spans="1:65" x14ac:dyDescent="0.2">
      <c r="A12" s="10" t="s">
        <v>8</v>
      </c>
      <c r="B12" s="12">
        <v>9.2803361933111537E-3</v>
      </c>
      <c r="C12" s="12">
        <v>1.7956391620350579E-2</v>
      </c>
      <c r="D12" s="12">
        <v>1.4035087719298249E-2</v>
      </c>
      <c r="E12" s="12">
        <v>0</v>
      </c>
      <c r="F12" s="12">
        <v>1.546534106600387E-2</v>
      </c>
      <c r="G12" s="12">
        <v>1.0393873085339169E-2</v>
      </c>
      <c r="H12" s="12">
        <v>1.38568129330254E-2</v>
      </c>
      <c r="I12" s="12">
        <v>1.2121212121212119E-2</v>
      </c>
      <c r="J12" s="13">
        <v>1.2519000000000001E-2</v>
      </c>
      <c r="L12" s="7" t="s">
        <v>8</v>
      </c>
      <c r="M12" s="11">
        <f t="shared" si="1"/>
        <v>-3.2386638066888469E-3</v>
      </c>
      <c r="N12" s="11">
        <f t="shared" si="2"/>
        <v>5.437391620350578E-3</v>
      </c>
      <c r="O12" s="11">
        <f t="shared" si="3"/>
        <v>1.5160877192982487E-3</v>
      </c>
      <c r="P12" s="11">
        <f t="shared" si="4"/>
        <v>-1.2519000000000001E-2</v>
      </c>
      <c r="Q12" s="11">
        <f t="shared" si="5"/>
        <v>2.9463410660038689E-3</v>
      </c>
      <c r="R12" s="11">
        <f t="shared" si="6"/>
        <v>-2.1251269146608312E-3</v>
      </c>
      <c r="S12" s="11">
        <f t="shared" si="7"/>
        <v>1.337812933025399E-3</v>
      </c>
      <c r="T12" s="11">
        <f t="shared" si="8"/>
        <v>-3.9778787878788115E-4</v>
      </c>
      <c r="V12" s="3">
        <v>9</v>
      </c>
      <c r="W12" s="4" t="s">
        <v>8</v>
      </c>
      <c r="X12" s="5">
        <v>1.2519000000000001E-2</v>
      </c>
      <c r="Y12" s="5">
        <v>0.11119</v>
      </c>
      <c r="AA12" s="7" t="s">
        <v>98</v>
      </c>
      <c r="AB12" s="15">
        <v>0.3971283488005603</v>
      </c>
      <c r="AC12" s="15">
        <v>4.4732348800560318E-2</v>
      </c>
      <c r="AD12" s="15">
        <v>9.3635405848421005E-2</v>
      </c>
      <c r="AF12" s="7" t="s">
        <v>69</v>
      </c>
      <c r="AG12" s="15">
        <v>0.1368106028217187</v>
      </c>
      <c r="AH12" s="15">
        <v>5.2730602821718695E-2</v>
      </c>
      <c r="AI12" s="15">
        <v>0.19000991954207411</v>
      </c>
      <c r="AK12" s="7" t="s">
        <v>42</v>
      </c>
      <c r="AL12" s="15">
        <v>0.1192982456140351</v>
      </c>
      <c r="AM12" s="15">
        <v>3.3215245614035091E-2</v>
      </c>
      <c r="AN12" s="15">
        <v>0.11841695584944807</v>
      </c>
      <c r="AP12" s="7" t="s">
        <v>88</v>
      </c>
      <c r="AQ12" s="15">
        <v>0.67326732673267331</v>
      </c>
      <c r="AR12" s="15">
        <v>0.31721532673267333</v>
      </c>
      <c r="AS12" s="15">
        <v>0.66246207364976273</v>
      </c>
      <c r="AU12" s="7" t="s">
        <v>12</v>
      </c>
      <c r="AV12" s="15">
        <v>0.51284175642087826</v>
      </c>
      <c r="AW12" s="15">
        <v>9.2489756420878255E-2</v>
      </c>
      <c r="AX12" s="15">
        <v>0.18736732199323833</v>
      </c>
      <c r="AZ12" s="7" t="s">
        <v>55</v>
      </c>
      <c r="BA12" s="15">
        <v>8.9715536105032828E-2</v>
      </c>
      <c r="BB12" s="15">
        <v>6.1972536105032824E-2</v>
      </c>
      <c r="BC12" s="15">
        <v>0.37732912874472008</v>
      </c>
      <c r="BE12" s="7" t="s">
        <v>70</v>
      </c>
      <c r="BF12" s="15">
        <v>6.6974595842956119E-2</v>
      </c>
      <c r="BG12" s="15">
        <v>4.5040595842956124E-2</v>
      </c>
      <c r="BH12" s="15">
        <v>0.30750311215082832</v>
      </c>
      <c r="BJ12" s="7" t="s">
        <v>95</v>
      </c>
      <c r="BK12" s="15">
        <v>0.53876698014629054</v>
      </c>
      <c r="BL12" s="15">
        <v>6.3780980146290522E-2</v>
      </c>
      <c r="BM12" s="15">
        <v>0.1277187989777257</v>
      </c>
    </row>
    <row r="13" spans="1:65" x14ac:dyDescent="0.2">
      <c r="A13" s="10" t="s">
        <v>9</v>
      </c>
      <c r="B13" s="12">
        <v>0.57800735422868155</v>
      </c>
      <c r="C13" s="12">
        <v>0.43565626336041041</v>
      </c>
      <c r="D13" s="12">
        <v>0.49122807017543862</v>
      </c>
      <c r="E13" s="12">
        <v>0.47524752475247523</v>
      </c>
      <c r="F13" s="12">
        <v>0.63159348246340785</v>
      </c>
      <c r="G13" s="12">
        <v>0.38949671772428879</v>
      </c>
      <c r="H13" s="12">
        <v>0.45265588914549648</v>
      </c>
      <c r="I13" s="12">
        <v>0.39749216300940438</v>
      </c>
      <c r="J13" s="13">
        <v>0.50062600000000002</v>
      </c>
      <c r="L13" s="7" t="s">
        <v>9</v>
      </c>
      <c r="M13" s="11">
        <f t="shared" si="1"/>
        <v>7.7381354228681531E-2</v>
      </c>
      <c r="N13" s="11">
        <f t="shared" si="2"/>
        <v>-6.4969736639589604E-2</v>
      </c>
      <c r="O13" s="11">
        <f t="shared" si="3"/>
        <v>-9.3979298245613907E-3</v>
      </c>
      <c r="P13" s="11">
        <f t="shared" si="4"/>
        <v>-2.537847524752479E-2</v>
      </c>
      <c r="Q13" s="11">
        <f t="shared" si="5"/>
        <v>0.13096748246340784</v>
      </c>
      <c r="R13" s="11">
        <f t="shared" si="6"/>
        <v>-0.11112928227571123</v>
      </c>
      <c r="S13" s="11">
        <f t="shared" si="7"/>
        <v>-4.7970110854503534E-2</v>
      </c>
      <c r="T13" s="11">
        <f t="shared" si="8"/>
        <v>-0.10313383699059564</v>
      </c>
      <c r="V13" s="3">
        <v>10</v>
      </c>
      <c r="W13" s="4" t="s">
        <v>9</v>
      </c>
      <c r="X13" s="5">
        <v>0.50062600000000002</v>
      </c>
      <c r="Y13" s="5">
        <v>0.50001200000000001</v>
      </c>
      <c r="AA13" s="7" t="s">
        <v>62</v>
      </c>
      <c r="AB13" s="15">
        <v>0.13045000875503421</v>
      </c>
      <c r="AC13" s="15">
        <v>2.6990008755034212E-2</v>
      </c>
      <c r="AD13" s="15">
        <v>8.8617639977522894E-2</v>
      </c>
      <c r="AF13" s="7" t="s">
        <v>66</v>
      </c>
      <c r="AG13" s="15">
        <v>0.15946985891406579</v>
      </c>
      <c r="AH13" s="15">
        <v>4.4341858914065793E-2</v>
      </c>
      <c r="AI13" s="15">
        <v>0.13892212639712329</v>
      </c>
      <c r="AK13" s="7" t="s">
        <v>83</v>
      </c>
      <c r="AL13" s="15">
        <v>2.1052631578947371E-2</v>
      </c>
      <c r="AM13" s="15">
        <v>1.0986631578947371E-2</v>
      </c>
      <c r="AN13" s="15">
        <v>0.11006002142718556</v>
      </c>
      <c r="AP13" s="7" t="s">
        <v>82</v>
      </c>
      <c r="AQ13" s="15">
        <v>3.9603960396039598E-2</v>
      </c>
      <c r="AR13" s="15">
        <v>3.6398960396039598E-2</v>
      </c>
      <c r="AS13" s="15">
        <v>0.64396724158377294</v>
      </c>
      <c r="AU13" s="7" t="s">
        <v>94</v>
      </c>
      <c r="AV13" s="15">
        <v>0.32780999723833187</v>
      </c>
      <c r="AW13" s="15">
        <v>7.9424997238331879E-2</v>
      </c>
      <c r="AX13" s="15">
        <v>0.18381714154402209</v>
      </c>
      <c r="AZ13" s="7" t="s">
        <v>107</v>
      </c>
      <c r="BA13" s="15">
        <v>0.62417943107221008</v>
      </c>
      <c r="BB13" s="15">
        <v>0.18635043107221005</v>
      </c>
      <c r="BC13" s="15">
        <v>0.37560655444964253</v>
      </c>
      <c r="BE13" s="7" t="s">
        <v>49</v>
      </c>
      <c r="BF13" s="15">
        <v>0.48960739030023093</v>
      </c>
      <c r="BG13" s="15">
        <v>0.13205339030023094</v>
      </c>
      <c r="BH13" s="15">
        <v>0.27551761827910948</v>
      </c>
      <c r="BJ13" s="7" t="s">
        <v>56</v>
      </c>
      <c r="BK13" s="15">
        <v>6.1442006269592467E-2</v>
      </c>
      <c r="BL13" s="15">
        <v>2.3984006269592469E-2</v>
      </c>
      <c r="BM13" s="15">
        <v>0.12630739638305336</v>
      </c>
    </row>
    <row r="14" spans="1:65" x14ac:dyDescent="0.2">
      <c r="A14" s="10" t="s">
        <v>10</v>
      </c>
      <c r="B14" s="12">
        <v>0.5102433899492208</v>
      </c>
      <c r="C14" s="12">
        <v>0.46002565198802908</v>
      </c>
      <c r="D14" s="12">
        <v>0.59649122807017541</v>
      </c>
      <c r="E14" s="12">
        <v>0.54455445544554459</v>
      </c>
      <c r="F14" s="12">
        <v>0.3791770229218448</v>
      </c>
      <c r="G14" s="12">
        <v>0.52188183807439825</v>
      </c>
      <c r="H14" s="12">
        <v>0.44649730561970752</v>
      </c>
      <c r="I14" s="12">
        <v>0.4670846394984326</v>
      </c>
      <c r="J14" s="13">
        <v>0.46857599999999999</v>
      </c>
      <c r="L14" s="7" t="s">
        <v>10</v>
      </c>
      <c r="M14" s="11">
        <f t="shared" si="1"/>
        <v>4.1667389949220812E-2</v>
      </c>
      <c r="N14" s="11">
        <f t="shared" si="2"/>
        <v>-8.5503480119709097E-3</v>
      </c>
      <c r="O14" s="11">
        <f t="shared" si="3"/>
        <v>0.12791522807017541</v>
      </c>
      <c r="P14" s="11">
        <f t="shared" si="4"/>
        <v>7.5978455445544602E-2</v>
      </c>
      <c r="Q14" s="11">
        <f t="shared" si="5"/>
        <v>-8.9398977078155195E-2</v>
      </c>
      <c r="R14" s="11">
        <f t="shared" si="6"/>
        <v>5.330583807439826E-2</v>
      </c>
      <c r="S14" s="11">
        <f t="shared" si="7"/>
        <v>-2.2078694380292474E-2</v>
      </c>
      <c r="T14" s="11">
        <f t="shared" si="8"/>
        <v>-1.4913605015673959E-3</v>
      </c>
      <c r="V14" s="3">
        <v>11</v>
      </c>
      <c r="W14" s="4" t="s">
        <v>10</v>
      </c>
      <c r="X14" s="5">
        <v>0.46857599999999999</v>
      </c>
      <c r="Y14" s="5">
        <v>0.49902400000000002</v>
      </c>
      <c r="AA14" s="7" t="s">
        <v>10</v>
      </c>
      <c r="AB14" s="15">
        <v>0.5102433899492208</v>
      </c>
      <c r="AC14" s="15">
        <v>4.1667389949220812E-2</v>
      </c>
      <c r="AD14" s="15">
        <v>8.3497767540681028E-2</v>
      </c>
      <c r="AF14" s="7" t="s">
        <v>57</v>
      </c>
      <c r="AG14" s="15">
        <v>0.58657545959811885</v>
      </c>
      <c r="AH14" s="15">
        <v>6.8672459598118851E-2</v>
      </c>
      <c r="AI14" s="15">
        <v>0.1374295758149397</v>
      </c>
      <c r="AK14" s="7" t="s">
        <v>106</v>
      </c>
      <c r="AL14" s="15">
        <v>1.143859649122807</v>
      </c>
      <c r="AM14" s="15">
        <v>9.9578649122807006E-2</v>
      </c>
      <c r="AN14" s="15">
        <v>0.10628774410628386</v>
      </c>
      <c r="AP14" s="7" t="s">
        <v>96</v>
      </c>
      <c r="AQ14" s="15">
        <v>0.53465346534653468</v>
      </c>
      <c r="AR14" s="15">
        <v>0.2723974653465347</v>
      </c>
      <c r="AS14" s="15">
        <v>0.61926529841984645</v>
      </c>
      <c r="AU14" s="7" t="s">
        <v>83</v>
      </c>
      <c r="AV14" s="15">
        <v>2.485501242750621E-2</v>
      </c>
      <c r="AW14" s="15">
        <v>1.478901242750621E-2</v>
      </c>
      <c r="AX14" s="15">
        <v>0.14815086980592052</v>
      </c>
      <c r="AZ14" s="7" t="s">
        <v>70</v>
      </c>
      <c r="BA14" s="15">
        <v>7.6586433260393869E-2</v>
      </c>
      <c r="BB14" s="15">
        <v>5.4652433260393873E-2</v>
      </c>
      <c r="BC14" s="15">
        <v>0.37312546603032576</v>
      </c>
      <c r="BE14" s="7" t="s">
        <v>69</v>
      </c>
      <c r="BF14" s="15">
        <v>0.1531947652040031</v>
      </c>
      <c r="BG14" s="15">
        <v>6.9114765204003101E-2</v>
      </c>
      <c r="BH14" s="15">
        <v>0.24904875485650541</v>
      </c>
      <c r="BJ14" s="7" t="s">
        <v>61</v>
      </c>
      <c r="BK14" s="15">
        <v>0.14357366771159871</v>
      </c>
      <c r="BL14" s="15">
        <v>3.4203667711598718E-2</v>
      </c>
      <c r="BM14" s="15">
        <v>0.10958850312902091</v>
      </c>
    </row>
    <row r="15" spans="1:65" x14ac:dyDescent="0.2">
      <c r="A15" s="10" t="s">
        <v>11</v>
      </c>
      <c r="B15" s="12">
        <v>9.8056382419891439E-2</v>
      </c>
      <c r="C15" s="12">
        <v>0.1222744762719111</v>
      </c>
      <c r="D15" s="12">
        <v>8.771929824561403E-2</v>
      </c>
      <c r="E15" s="12">
        <v>6.9306930693069313E-2</v>
      </c>
      <c r="F15" s="12">
        <v>0.107981220657277</v>
      </c>
      <c r="G15" s="12">
        <v>9.8468271334792121E-2</v>
      </c>
      <c r="H15" s="12">
        <v>0.1070053887605851</v>
      </c>
      <c r="I15" s="12">
        <v>0.13166144200626961</v>
      </c>
      <c r="J15" s="13">
        <v>0.111072</v>
      </c>
      <c r="L15" s="7" t="s">
        <v>11</v>
      </c>
      <c r="M15" s="11">
        <f t="shared" si="1"/>
        <v>-1.3015617580108566E-2</v>
      </c>
      <c r="N15" s="11">
        <f t="shared" si="2"/>
        <v>1.1202476271911094E-2</v>
      </c>
      <c r="O15" s="11">
        <f t="shared" si="3"/>
        <v>-2.3352701754385974E-2</v>
      </c>
      <c r="P15" s="11">
        <f t="shared" si="4"/>
        <v>-4.1765069306930691E-2</v>
      </c>
      <c r="Q15" s="11">
        <f t="shared" si="5"/>
        <v>-3.0907793427230046E-3</v>
      </c>
      <c r="R15" s="11">
        <f t="shared" si="6"/>
        <v>-1.2603728665207883E-2</v>
      </c>
      <c r="S15" s="11">
        <f t="shared" si="7"/>
        <v>-4.0666112394149023E-3</v>
      </c>
      <c r="T15" s="11">
        <f t="shared" si="8"/>
        <v>2.0589442006269609E-2</v>
      </c>
      <c r="V15" s="3">
        <v>12</v>
      </c>
      <c r="W15" s="4" t="s">
        <v>11</v>
      </c>
      <c r="X15" s="5">
        <v>0.111072</v>
      </c>
      <c r="Y15" s="5">
        <v>0.31422899999999998</v>
      </c>
      <c r="AA15" s="7" t="s">
        <v>61</v>
      </c>
      <c r="AB15" s="15">
        <v>0.13272631763263881</v>
      </c>
      <c r="AC15" s="15">
        <v>2.3356317632638818E-2</v>
      </c>
      <c r="AD15" s="15">
        <v>7.4833608768186913E-2</v>
      </c>
      <c r="AF15" s="7" t="s">
        <v>47</v>
      </c>
      <c r="AG15" s="15">
        <v>0.1068832834544677</v>
      </c>
      <c r="AH15" s="15">
        <v>3.4571283454467694E-2</v>
      </c>
      <c r="AI15" s="15">
        <v>0.1334747054340284</v>
      </c>
      <c r="AK15" s="7" t="s">
        <v>39</v>
      </c>
      <c r="AL15" s="15">
        <v>0.11228070175438599</v>
      </c>
      <c r="AM15" s="15">
        <v>2.9051701754385997E-2</v>
      </c>
      <c r="AN15" s="15">
        <v>0.10517024183896319</v>
      </c>
      <c r="AP15" s="7" t="s">
        <v>100</v>
      </c>
      <c r="AQ15" s="15">
        <v>0.20792079207920791</v>
      </c>
      <c r="AR15" s="15">
        <v>0.14467279207920791</v>
      </c>
      <c r="AS15" s="15">
        <v>0.59434624850238449</v>
      </c>
      <c r="AU15" s="7" t="s">
        <v>80</v>
      </c>
      <c r="AV15" s="15">
        <v>5.8271195802264572E-2</v>
      </c>
      <c r="AW15" s="15">
        <v>2.2866195802264573E-2</v>
      </c>
      <c r="AX15" s="15">
        <v>0.12373080853578658</v>
      </c>
      <c r="AZ15" s="7" t="s">
        <v>46</v>
      </c>
      <c r="BA15" s="15">
        <v>0.24945295404814011</v>
      </c>
      <c r="BB15" s="15">
        <v>0.1156459540481401</v>
      </c>
      <c r="BC15" s="15">
        <v>0.33968158414393751</v>
      </c>
      <c r="BE15" s="7" t="s">
        <v>108</v>
      </c>
      <c r="BF15" s="15">
        <v>0.1216320246343341</v>
      </c>
      <c r="BG15" s="15">
        <v>5.5329024634334104E-2</v>
      </c>
      <c r="BH15" s="15">
        <v>0.22236834554847176</v>
      </c>
      <c r="BJ15" s="7" t="s">
        <v>41</v>
      </c>
      <c r="BK15" s="15">
        <v>0.1818181818181818</v>
      </c>
      <c r="BL15" s="15">
        <v>3.5441181818181788E-2</v>
      </c>
      <c r="BM15" s="15">
        <v>0.10025992542478009</v>
      </c>
    </row>
    <row r="16" spans="1:65" x14ac:dyDescent="0.2">
      <c r="A16" s="10" t="s">
        <v>12</v>
      </c>
      <c r="B16" s="12">
        <v>0.39170022763088769</v>
      </c>
      <c r="C16" s="12">
        <v>0.41769987174005979</v>
      </c>
      <c r="D16" s="12">
        <v>0.31578947368421051</v>
      </c>
      <c r="E16" s="12">
        <v>0.38613861386138609</v>
      </c>
      <c r="F16" s="12">
        <v>0.51284175642087826</v>
      </c>
      <c r="G16" s="12">
        <v>0.37964989059080961</v>
      </c>
      <c r="H16" s="12">
        <v>0.44649730561970752</v>
      </c>
      <c r="I16" s="12">
        <v>0.40125391849529779</v>
      </c>
      <c r="J16" s="13">
        <v>0.420352</v>
      </c>
      <c r="L16" s="7" t="s">
        <v>12</v>
      </c>
      <c r="M16" s="11">
        <f t="shared" si="1"/>
        <v>-2.8651772369112316E-2</v>
      </c>
      <c r="N16" s="11">
        <f t="shared" si="2"/>
        <v>-2.6521282599402118E-3</v>
      </c>
      <c r="O16" s="11">
        <f t="shared" si="3"/>
        <v>-0.10456252631578949</v>
      </c>
      <c r="P16" s="11">
        <f t="shared" si="4"/>
        <v>-3.421338613861391E-2</v>
      </c>
      <c r="Q16" s="11">
        <f t="shared" si="5"/>
        <v>9.2489756420878255E-2</v>
      </c>
      <c r="R16" s="11">
        <f t="shared" si="6"/>
        <v>-4.070210940919039E-2</v>
      </c>
      <c r="S16" s="11">
        <f t="shared" si="7"/>
        <v>2.6145305619707515E-2</v>
      </c>
      <c r="T16" s="11">
        <f t="shared" si="8"/>
        <v>-1.9098081504702213E-2</v>
      </c>
      <c r="V16" s="3">
        <v>13</v>
      </c>
      <c r="W16" s="4" t="s">
        <v>12</v>
      </c>
      <c r="X16" s="5">
        <v>0.420352</v>
      </c>
      <c r="Y16" s="5">
        <v>0.49362800000000001</v>
      </c>
      <c r="AA16" s="7" t="s">
        <v>93</v>
      </c>
      <c r="AB16" s="15">
        <v>88.31677464542112</v>
      </c>
      <c r="AC16" s="15">
        <v>0.91557764542112352</v>
      </c>
      <c r="AD16" s="15">
        <v>7.479080326933675E-2</v>
      </c>
      <c r="AF16" s="7" t="s">
        <v>93</v>
      </c>
      <c r="AG16" s="15">
        <v>88.568790081231299</v>
      </c>
      <c r="AH16" s="15">
        <v>1.1675930812313027</v>
      </c>
      <c r="AI16" s="15">
        <v>9.5377191518086379E-2</v>
      </c>
      <c r="AK16" s="7" t="s">
        <v>56</v>
      </c>
      <c r="AL16" s="15">
        <v>5.6140350877192977E-2</v>
      </c>
      <c r="AM16" s="15">
        <v>1.8682350877192978E-2</v>
      </c>
      <c r="AN16" s="15">
        <v>9.8387194828439051E-2</v>
      </c>
      <c r="AP16" s="7" t="s">
        <v>73</v>
      </c>
      <c r="AQ16" s="15">
        <v>0.38613861386138609</v>
      </c>
      <c r="AR16" s="15">
        <v>0.1896836138613861</v>
      </c>
      <c r="AS16" s="15">
        <v>0.47740045670654851</v>
      </c>
      <c r="AU16" s="7" t="s">
        <v>91</v>
      </c>
      <c r="AV16" s="15">
        <v>0.17177575255454289</v>
      </c>
      <c r="AW16" s="15">
        <v>3.7467752554542877E-2</v>
      </c>
      <c r="AX16" s="15">
        <v>0.10987868499713446</v>
      </c>
      <c r="AZ16" s="7" t="s">
        <v>54</v>
      </c>
      <c r="BA16" s="15">
        <v>0.16794310722100661</v>
      </c>
      <c r="BB16" s="15">
        <v>7.1644107221006614E-2</v>
      </c>
      <c r="BC16" s="15">
        <v>0.24285397130598255</v>
      </c>
      <c r="BE16" s="7" t="s">
        <v>13</v>
      </c>
      <c r="BF16" s="15">
        <v>1.501924557351809</v>
      </c>
      <c r="BG16" s="15">
        <v>0.114524557351809</v>
      </c>
      <c r="BH16" s="15">
        <v>0.16685469468031083</v>
      </c>
      <c r="BJ16" s="7" t="s">
        <v>90</v>
      </c>
      <c r="BK16" s="15">
        <v>0.30198537095088818</v>
      </c>
      <c r="BL16" s="15">
        <v>4.0780370950888156E-2</v>
      </c>
      <c r="BM16" s="15">
        <v>9.2829923266655179E-2</v>
      </c>
    </row>
    <row r="17" spans="1:65" x14ac:dyDescent="0.2">
      <c r="A17" s="10" t="s">
        <v>13</v>
      </c>
      <c r="B17" s="12">
        <v>1.1364034319733849</v>
      </c>
      <c r="C17" s="12">
        <v>2.6400171013253528</v>
      </c>
      <c r="D17" s="12">
        <v>1.428070175438596</v>
      </c>
      <c r="E17" s="12">
        <v>2.0990099009900991</v>
      </c>
      <c r="F17" s="12">
        <v>1.1756420878210441</v>
      </c>
      <c r="G17" s="12">
        <v>1.418490153172866</v>
      </c>
      <c r="H17" s="12">
        <v>1.501924557351809</v>
      </c>
      <c r="I17" s="12">
        <v>1.174503657262278</v>
      </c>
      <c r="J17" s="13">
        <v>1.3874</v>
      </c>
      <c r="L17" s="7" t="s">
        <v>13</v>
      </c>
      <c r="M17" s="11">
        <f t="shared" si="1"/>
        <v>-0.25099656802661507</v>
      </c>
      <c r="N17" s="11">
        <f t="shared" si="2"/>
        <v>1.2526171013253529</v>
      </c>
      <c r="O17" s="11">
        <f t="shared" si="3"/>
        <v>4.0670175438596079E-2</v>
      </c>
      <c r="P17" s="11">
        <f t="shared" si="4"/>
        <v>0.71160990099009913</v>
      </c>
      <c r="Q17" s="11">
        <f t="shared" si="5"/>
        <v>-0.2117579121789559</v>
      </c>
      <c r="R17" s="11">
        <f t="shared" si="6"/>
        <v>3.1090153172866009E-2</v>
      </c>
      <c r="S17" s="11">
        <f t="shared" si="7"/>
        <v>0.114524557351809</v>
      </c>
      <c r="T17" s="11">
        <f t="shared" si="8"/>
        <v>-0.21289634273772196</v>
      </c>
      <c r="V17" s="3">
        <v>14</v>
      </c>
      <c r="W17" s="4" t="s">
        <v>13</v>
      </c>
      <c r="X17" s="5">
        <v>1.3874</v>
      </c>
      <c r="Y17" s="5">
        <v>0.68637300000000001</v>
      </c>
      <c r="AA17" s="7" t="s">
        <v>29</v>
      </c>
      <c r="AB17" s="15">
        <v>0.3824198914375766</v>
      </c>
      <c r="AC17" s="15">
        <v>3.4129891437576609E-2</v>
      </c>
      <c r="AD17" s="15">
        <v>7.16352351556893E-2</v>
      </c>
      <c r="AF17" s="7" t="s">
        <v>105</v>
      </c>
      <c r="AG17" s="15">
        <v>0.34720393330482863</v>
      </c>
      <c r="AH17" s="15">
        <v>1.5572933304828618E-2</v>
      </c>
      <c r="AI17" s="15">
        <v>8.266239174077783E-2</v>
      </c>
      <c r="AK17" s="7" t="s">
        <v>17</v>
      </c>
      <c r="AL17" s="15">
        <v>0.14385964912280699</v>
      </c>
      <c r="AM17" s="15">
        <v>2.7829649122806999E-2</v>
      </c>
      <c r="AN17" s="15">
        <v>8.6894607729149545E-2</v>
      </c>
      <c r="AP17" s="7" t="s">
        <v>99</v>
      </c>
      <c r="AQ17" s="15">
        <v>0.6633663366336634</v>
      </c>
      <c r="AR17" s="15">
        <v>0.2033033366336634</v>
      </c>
      <c r="AS17" s="15">
        <v>0.40789971536503394</v>
      </c>
      <c r="AU17" s="7" t="s">
        <v>85</v>
      </c>
      <c r="AV17" s="15">
        <v>6.1585197459265398E-2</v>
      </c>
      <c r="AW17" s="15">
        <v>2.1122197459265399E-2</v>
      </c>
      <c r="AX17" s="15">
        <v>0.10719370231094814</v>
      </c>
      <c r="AZ17" s="7" t="s">
        <v>24</v>
      </c>
      <c r="BA17" s="15">
        <v>7.2757111597374177E-2</v>
      </c>
      <c r="BB17" s="15">
        <v>3.9656111597374179E-2</v>
      </c>
      <c r="BC17" s="15">
        <v>0.22165892478382043</v>
      </c>
      <c r="BE17" s="7" t="s">
        <v>46</v>
      </c>
      <c r="BF17" s="15">
        <v>0.18937644341801391</v>
      </c>
      <c r="BG17" s="15">
        <v>5.5569443418013897E-2</v>
      </c>
      <c r="BH17" s="15">
        <v>0.16322159063489899</v>
      </c>
      <c r="BJ17" s="7" t="s">
        <v>40</v>
      </c>
      <c r="BK17" s="15">
        <v>0.15318704284221529</v>
      </c>
      <c r="BL17" s="15">
        <v>2.8995042842215296E-2</v>
      </c>
      <c r="BM17" s="15">
        <v>8.7914650122389915E-2</v>
      </c>
    </row>
    <row r="18" spans="1:65" x14ac:dyDescent="0.2">
      <c r="A18" s="10" t="s">
        <v>14</v>
      </c>
      <c r="B18" s="12">
        <v>0.27350726667834002</v>
      </c>
      <c r="C18" s="12">
        <v>0.27276613937580158</v>
      </c>
      <c r="D18" s="12">
        <v>0.24912280701754391</v>
      </c>
      <c r="E18" s="12">
        <v>0.17821782178217821</v>
      </c>
      <c r="F18" s="12">
        <v>0.26291079812206569</v>
      </c>
      <c r="G18" s="12">
        <v>0.26094091903719913</v>
      </c>
      <c r="H18" s="12">
        <v>0.23556581986143191</v>
      </c>
      <c r="I18" s="12">
        <v>0.25308254963427379</v>
      </c>
      <c r="J18" s="13">
        <v>0.262156</v>
      </c>
      <c r="L18" s="7" t="s">
        <v>14</v>
      </c>
      <c r="M18" s="11">
        <f t="shared" si="1"/>
        <v>1.1351266678340022E-2</v>
      </c>
      <c r="N18" s="11">
        <f t="shared" si="2"/>
        <v>1.0610139375801575E-2</v>
      </c>
      <c r="O18" s="11">
        <f t="shared" si="3"/>
        <v>-1.3033192982456088E-2</v>
      </c>
      <c r="P18" s="11">
        <f t="shared" si="4"/>
        <v>-8.3938178217821791E-2</v>
      </c>
      <c r="Q18" s="11">
        <f t="shared" si="5"/>
        <v>7.5479812206569186E-4</v>
      </c>
      <c r="R18" s="11">
        <f t="shared" si="6"/>
        <v>-1.2150809628008741E-3</v>
      </c>
      <c r="S18" s="11">
        <f t="shared" si="7"/>
        <v>-2.6590180138568092E-2</v>
      </c>
      <c r="T18" s="11">
        <f t="shared" si="8"/>
        <v>-9.07345036572621E-3</v>
      </c>
      <c r="V18" s="3">
        <v>15</v>
      </c>
      <c r="W18" s="4" t="s">
        <v>14</v>
      </c>
      <c r="X18" s="5">
        <v>0.262156</v>
      </c>
      <c r="Y18" s="5">
        <v>0.43981799999999999</v>
      </c>
      <c r="AA18" s="7" t="s">
        <v>20</v>
      </c>
      <c r="AB18" s="15">
        <v>0.13710383470495541</v>
      </c>
      <c r="AC18" s="15">
        <v>1.9371834704955404E-2</v>
      </c>
      <c r="AD18" s="15">
        <v>6.0105165405277099E-2</v>
      </c>
      <c r="AF18" s="7" t="s">
        <v>39</v>
      </c>
      <c r="AG18" s="15">
        <v>0.1051731509191962</v>
      </c>
      <c r="AH18" s="15">
        <v>2.1944150919196201E-2</v>
      </c>
      <c r="AI18" s="15">
        <v>7.9440153924000223E-2</v>
      </c>
      <c r="AK18" s="7" t="s">
        <v>52</v>
      </c>
      <c r="AL18" s="15">
        <v>9.8245614035087719E-2</v>
      </c>
      <c r="AM18" s="15">
        <v>2.2878614035087716E-2</v>
      </c>
      <c r="AN18" s="15">
        <v>8.666502784240146E-2</v>
      </c>
      <c r="AP18" s="7" t="s">
        <v>43</v>
      </c>
      <c r="AQ18" s="15">
        <v>9.9009900990099015E-2</v>
      </c>
      <c r="AR18" s="15">
        <v>6.8862900990099007E-2</v>
      </c>
      <c r="AS18" s="15">
        <v>0.40271879873738414</v>
      </c>
      <c r="AU18" s="7" t="s">
        <v>98</v>
      </c>
      <c r="AV18" s="15">
        <v>0.40292736813035068</v>
      </c>
      <c r="AW18" s="15">
        <v>5.0531368130350696E-2</v>
      </c>
      <c r="AX18" s="15">
        <v>0.10577412744537321</v>
      </c>
      <c r="AZ18" s="7" t="s">
        <v>108</v>
      </c>
      <c r="BA18" s="15">
        <v>0.1198030634573304</v>
      </c>
      <c r="BB18" s="15">
        <v>5.3500063457330396E-2</v>
      </c>
      <c r="BC18" s="15">
        <v>0.21501771766933286</v>
      </c>
      <c r="BE18" s="7" t="s">
        <v>93</v>
      </c>
      <c r="BF18" s="15">
        <v>89.172517321016372</v>
      </c>
      <c r="BG18" s="15">
        <v>1.7713203210163755</v>
      </c>
      <c r="BH18" s="15">
        <v>0.14469386656462127</v>
      </c>
      <c r="BJ18" s="7" t="s">
        <v>88</v>
      </c>
      <c r="BK18" s="15">
        <v>0.39686520376175549</v>
      </c>
      <c r="BL18" s="15">
        <v>4.0813203761755512E-2</v>
      </c>
      <c r="BM18" s="15">
        <v>8.5232954771721645E-2</v>
      </c>
    </row>
    <row r="19" spans="1:65" x14ac:dyDescent="0.2">
      <c r="A19" s="10" t="s">
        <v>15</v>
      </c>
      <c r="B19" s="12">
        <v>0.38994922080196109</v>
      </c>
      <c r="C19" s="12">
        <v>0.36639589568191527</v>
      </c>
      <c r="D19" s="12">
        <v>0.38947368421052631</v>
      </c>
      <c r="E19" s="12">
        <v>0.32673267326732669</v>
      </c>
      <c r="F19" s="12">
        <v>0.40375586854460088</v>
      </c>
      <c r="G19" s="12">
        <v>0.37964989059080961</v>
      </c>
      <c r="H19" s="12">
        <v>0.35719784449576603</v>
      </c>
      <c r="I19" s="12">
        <v>0.3830721003134796</v>
      </c>
      <c r="J19" s="13">
        <v>0.38464599999999999</v>
      </c>
      <c r="L19" s="7" t="s">
        <v>15</v>
      </c>
      <c r="M19" s="11">
        <f t="shared" si="1"/>
        <v>5.303220801961106E-3</v>
      </c>
      <c r="N19" s="11">
        <f t="shared" si="2"/>
        <v>-1.8250104318084714E-2</v>
      </c>
      <c r="O19" s="11">
        <f t="shared" si="3"/>
        <v>4.8276842105263174E-3</v>
      </c>
      <c r="P19" s="11">
        <f t="shared" si="4"/>
        <v>-5.7913326732673298E-2</v>
      </c>
      <c r="Q19" s="11">
        <f t="shared" si="5"/>
        <v>1.9109868544600894E-2</v>
      </c>
      <c r="R19" s="11">
        <f t="shared" si="6"/>
        <v>-4.9961094091903746E-3</v>
      </c>
      <c r="S19" s="11">
        <f t="shared" si="7"/>
        <v>-2.7448155504233962E-2</v>
      </c>
      <c r="T19" s="11">
        <f t="shared" si="8"/>
        <v>-1.5738996865203858E-3</v>
      </c>
      <c r="V19" s="3">
        <v>16</v>
      </c>
      <c r="W19" s="4" t="s">
        <v>15</v>
      </c>
      <c r="X19" s="5">
        <v>0.38464599999999999</v>
      </c>
      <c r="Y19" s="5">
        <v>0.48652400000000001</v>
      </c>
      <c r="AA19" s="7" t="s">
        <v>63</v>
      </c>
      <c r="AB19" s="15">
        <v>0.13115041148660481</v>
      </c>
      <c r="AC19" s="15">
        <v>1.8626411486604807E-2</v>
      </c>
      <c r="AD19" s="15">
        <v>5.8940982749731995E-2</v>
      </c>
      <c r="AF19" s="7" t="s">
        <v>100</v>
      </c>
      <c r="AG19" s="15">
        <v>8.2086361693031212E-2</v>
      </c>
      <c r="AH19" s="15">
        <v>1.8838361693031214E-2</v>
      </c>
      <c r="AI19" s="15">
        <v>7.7391950755011873E-2</v>
      </c>
      <c r="AK19" s="7" t="s">
        <v>62</v>
      </c>
      <c r="AL19" s="15">
        <v>0.12982456140350879</v>
      </c>
      <c r="AM19" s="15">
        <v>2.6364561403508791E-2</v>
      </c>
      <c r="AN19" s="15">
        <v>8.6564077537976181E-2</v>
      </c>
      <c r="AP19" s="7" t="s">
        <v>93</v>
      </c>
      <c r="AQ19" s="15">
        <v>92.042574257425699</v>
      </c>
      <c r="AR19" s="15">
        <v>4.6413772574257024</v>
      </c>
      <c r="AS19" s="15">
        <v>0.37914024560880866</v>
      </c>
      <c r="AU19" s="7" t="s">
        <v>86</v>
      </c>
      <c r="AV19" s="15">
        <v>0.14443523888428611</v>
      </c>
      <c r="AW19" s="15">
        <v>3.0809238884286105E-2</v>
      </c>
      <c r="AX19" s="15">
        <v>9.707825023013282E-2</v>
      </c>
      <c r="AZ19" s="7" t="s">
        <v>56</v>
      </c>
      <c r="BA19" s="15">
        <v>7.6586433260393869E-2</v>
      </c>
      <c r="BB19" s="15">
        <v>3.912843326039387E-2</v>
      </c>
      <c r="BC19" s="15">
        <v>0.20606276007917315</v>
      </c>
      <c r="BE19" s="7" t="s">
        <v>96</v>
      </c>
      <c r="BF19" s="15">
        <v>0.32178598922247881</v>
      </c>
      <c r="BG19" s="15">
        <v>5.9529989222478819E-2</v>
      </c>
      <c r="BH19" s="15">
        <v>0.13533480017477545</v>
      </c>
      <c r="BJ19" s="7" t="s">
        <v>33</v>
      </c>
      <c r="BK19" s="15">
        <v>0.14963427377220481</v>
      </c>
      <c r="BL19" s="15">
        <v>2.7645273772204812E-2</v>
      </c>
      <c r="BM19" s="15">
        <v>8.4469534657388642E-2</v>
      </c>
    </row>
    <row r="20" spans="1:65" x14ac:dyDescent="0.2">
      <c r="A20" s="10" t="s">
        <v>16</v>
      </c>
      <c r="B20" s="12">
        <v>0.10243389949220801</v>
      </c>
      <c r="C20" s="12">
        <v>0.1081658828559213</v>
      </c>
      <c r="D20" s="12">
        <v>9.8245614035087719E-2</v>
      </c>
      <c r="E20" s="12">
        <v>0.12871287128712869</v>
      </c>
      <c r="F20" s="12">
        <v>0.10742888704777689</v>
      </c>
      <c r="G20" s="12">
        <v>0.14496717724288841</v>
      </c>
      <c r="H20" s="12">
        <v>0.1039260969976905</v>
      </c>
      <c r="I20" s="12">
        <v>0.11995820271682341</v>
      </c>
      <c r="J20" s="13">
        <v>0.112274</v>
      </c>
      <c r="L20" s="7" t="s">
        <v>16</v>
      </c>
      <c r="M20" s="11">
        <f t="shared" si="1"/>
        <v>-9.8401005077919934E-3</v>
      </c>
      <c r="N20" s="11">
        <f t="shared" si="2"/>
        <v>-4.1081171440787018E-3</v>
      </c>
      <c r="O20" s="11">
        <f t="shared" si="3"/>
        <v>-1.4028385964912279E-2</v>
      </c>
      <c r="P20" s="11">
        <f t="shared" si="4"/>
        <v>1.643887128712869E-2</v>
      </c>
      <c r="Q20" s="11">
        <f t="shared" si="5"/>
        <v>-4.8451129522231046E-3</v>
      </c>
      <c r="R20" s="11">
        <f t="shared" si="6"/>
        <v>3.2693177242888408E-2</v>
      </c>
      <c r="S20" s="11">
        <f t="shared" si="7"/>
        <v>-8.3479030023095036E-3</v>
      </c>
      <c r="T20" s="11">
        <f t="shared" si="8"/>
        <v>7.6842027168234073E-3</v>
      </c>
      <c r="V20" s="3">
        <v>17</v>
      </c>
      <c r="W20" s="4" t="s">
        <v>16</v>
      </c>
      <c r="X20" s="5">
        <v>0.112274</v>
      </c>
      <c r="Y20" s="5">
        <v>0.31571100000000002</v>
      </c>
      <c r="AA20" s="7" t="s">
        <v>87</v>
      </c>
      <c r="AB20" s="15">
        <v>7.5118192960952554E-2</v>
      </c>
      <c r="AC20" s="15">
        <v>1.4023192960952557E-2</v>
      </c>
      <c r="AD20" s="15">
        <v>5.8549509252025206E-2</v>
      </c>
      <c r="AF20" s="7" t="s">
        <v>94</v>
      </c>
      <c r="AG20" s="15">
        <v>0.28174433518597691</v>
      </c>
      <c r="AH20" s="15">
        <v>3.3359335185976918E-2</v>
      </c>
      <c r="AI20" s="15">
        <v>7.7205135044509363E-2</v>
      </c>
      <c r="AK20" s="7" t="s">
        <v>1</v>
      </c>
      <c r="AL20" s="15">
        <v>0.1789473684210526</v>
      </c>
      <c r="AM20" s="15">
        <v>2.87143684210526E-2</v>
      </c>
      <c r="AN20" s="15">
        <v>8.0363071694595695E-2</v>
      </c>
      <c r="AP20" s="7" t="s">
        <v>76</v>
      </c>
      <c r="AQ20" s="15">
        <v>0.1386138613861386</v>
      </c>
      <c r="AR20" s="15">
        <v>7.8670861386138602E-2</v>
      </c>
      <c r="AS20" s="15">
        <v>0.33140341040637694</v>
      </c>
      <c r="AU20" s="7" t="s">
        <v>50</v>
      </c>
      <c r="AV20" s="15">
        <v>0.43330571665285827</v>
      </c>
      <c r="AW20" s="15">
        <v>4.6505716652858298E-2</v>
      </c>
      <c r="AX20" s="15">
        <v>9.5488598528749413E-2</v>
      </c>
      <c r="AZ20" s="7" t="s">
        <v>96</v>
      </c>
      <c r="BA20" s="15">
        <v>0.34682713347921218</v>
      </c>
      <c r="BB20" s="15">
        <v>8.457113347921219E-2</v>
      </c>
      <c r="BC20" s="15">
        <v>0.19226305261351528</v>
      </c>
      <c r="BE20" s="7" t="s">
        <v>100</v>
      </c>
      <c r="BF20" s="15">
        <v>8.9299461123941493E-2</v>
      </c>
      <c r="BG20" s="15">
        <v>2.6051461123941494E-2</v>
      </c>
      <c r="BH20" s="15">
        <v>0.10702487983050138</v>
      </c>
      <c r="BJ20" s="7" t="s">
        <v>77</v>
      </c>
      <c r="BK20" s="15">
        <v>0.13061650992685481</v>
      </c>
      <c r="BL20" s="15">
        <v>2.4802509926854802E-2</v>
      </c>
      <c r="BM20" s="15">
        <v>8.0630512071749996E-2</v>
      </c>
    </row>
    <row r="21" spans="1:65" x14ac:dyDescent="0.2">
      <c r="A21" s="10" t="s">
        <v>17</v>
      </c>
      <c r="B21" s="12">
        <v>0.11819296095254769</v>
      </c>
      <c r="C21" s="12">
        <v>0.11714407866609659</v>
      </c>
      <c r="D21" s="12">
        <v>0.14385964912280699</v>
      </c>
      <c r="E21" s="12">
        <v>7.9207920792079209E-2</v>
      </c>
      <c r="F21" s="12">
        <v>0.1212372272852803</v>
      </c>
      <c r="G21" s="12">
        <v>0.11761487964989061</v>
      </c>
      <c r="H21" s="12">
        <v>0.1031562740569669</v>
      </c>
      <c r="I21" s="12">
        <v>0.11097178683385581</v>
      </c>
      <c r="J21" s="13">
        <v>0.11602999999999999</v>
      </c>
      <c r="L21" s="7" t="s">
        <v>17</v>
      </c>
      <c r="M21" s="11">
        <f t="shared" si="1"/>
        <v>2.1629609525476989E-3</v>
      </c>
      <c r="N21" s="11">
        <f t="shared" si="2"/>
        <v>1.114078666096599E-3</v>
      </c>
      <c r="O21" s="11">
        <f t="shared" si="3"/>
        <v>2.7829649122806999E-2</v>
      </c>
      <c r="P21" s="11">
        <f t="shared" si="4"/>
        <v>-3.6822079207920785E-2</v>
      </c>
      <c r="Q21" s="11">
        <f t="shared" si="5"/>
        <v>5.2072272852803081E-3</v>
      </c>
      <c r="R21" s="11">
        <f t="shared" si="6"/>
        <v>1.5848796498906109E-3</v>
      </c>
      <c r="S21" s="11">
        <f t="shared" si="7"/>
        <v>-1.2873725943033099E-2</v>
      </c>
      <c r="T21" s="11">
        <f t="shared" si="8"/>
        <v>-5.0582131661441876E-3</v>
      </c>
      <c r="V21" s="3">
        <v>18</v>
      </c>
      <c r="W21" s="4" t="s">
        <v>17</v>
      </c>
      <c r="X21" s="5">
        <v>0.11602999999999999</v>
      </c>
      <c r="Y21" s="5">
        <v>0.32026900000000003</v>
      </c>
      <c r="AA21" s="7" t="s">
        <v>77</v>
      </c>
      <c r="AB21" s="15">
        <v>0.1225704780248643</v>
      </c>
      <c r="AC21" s="15">
        <v>1.6756478024864296E-2</v>
      </c>
      <c r="AD21" s="15">
        <v>5.4473656402046426E-2</v>
      </c>
      <c r="AF21" s="7" t="s">
        <v>96</v>
      </c>
      <c r="AG21" s="15">
        <v>0.2949978623343309</v>
      </c>
      <c r="AH21" s="15">
        <v>3.2741862334330907E-2</v>
      </c>
      <c r="AI21" s="15">
        <v>7.44349772986935E-2</v>
      </c>
      <c r="AK21" s="7" t="s">
        <v>105</v>
      </c>
      <c r="AL21" s="15">
        <v>0.34610526315789469</v>
      </c>
      <c r="AM21" s="15">
        <v>1.4474263157894685E-2</v>
      </c>
      <c r="AN21" s="15">
        <v>7.6830561583797002E-2</v>
      </c>
      <c r="AP21" s="7" t="s">
        <v>68</v>
      </c>
      <c r="AQ21" s="15">
        <v>0.21782178217821779</v>
      </c>
      <c r="AR21" s="15">
        <v>0.10114078217821779</v>
      </c>
      <c r="AS21" s="15">
        <v>0.31503321054240419</v>
      </c>
      <c r="AU21" s="7" t="s">
        <v>101</v>
      </c>
      <c r="AV21" s="15">
        <v>1.380834023750345E-2</v>
      </c>
      <c r="AW21" s="15">
        <v>6.9473402375034498E-3</v>
      </c>
      <c r="AX21" s="15">
        <v>8.4163257305059608E-2</v>
      </c>
      <c r="AZ21" s="7" t="s">
        <v>69</v>
      </c>
      <c r="BA21" s="15">
        <v>0.13676148796498899</v>
      </c>
      <c r="BB21" s="15">
        <v>5.2681487964988991E-2</v>
      </c>
      <c r="BC21" s="15">
        <v>0.18983293863390804</v>
      </c>
      <c r="BE21" s="7" t="s">
        <v>51</v>
      </c>
      <c r="BF21" s="15">
        <v>0.21862971516551191</v>
      </c>
      <c r="BG21" s="15">
        <v>3.9151715165511913E-2</v>
      </c>
      <c r="BH21" s="15">
        <v>0.10202082323292018</v>
      </c>
      <c r="BJ21" s="7" t="s">
        <v>11</v>
      </c>
      <c r="BK21" s="15">
        <v>0.13166144200626961</v>
      </c>
      <c r="BL21" s="15">
        <v>2.0589442006269609E-2</v>
      </c>
      <c r="BM21" s="15">
        <v>6.5523684975828486E-2</v>
      </c>
    </row>
    <row r="22" spans="1:65" x14ac:dyDescent="0.2">
      <c r="A22" s="10" t="s">
        <v>18</v>
      </c>
      <c r="B22" s="12">
        <v>0.1041849063211347</v>
      </c>
      <c r="C22" s="12">
        <v>0.1205643437366396</v>
      </c>
      <c r="D22" s="12">
        <v>0.12982456140350879</v>
      </c>
      <c r="E22" s="12">
        <v>0.1386138613861386</v>
      </c>
      <c r="F22" s="12">
        <v>0.11239988953327811</v>
      </c>
      <c r="G22" s="12">
        <v>0.137855579868709</v>
      </c>
      <c r="H22" s="12">
        <v>0.1077752117013087</v>
      </c>
      <c r="I22" s="12">
        <v>0.11243469174503661</v>
      </c>
      <c r="J22" s="13">
        <v>0.113426</v>
      </c>
      <c r="L22" s="7" t="s">
        <v>18</v>
      </c>
      <c r="M22" s="11">
        <f t="shared" si="1"/>
        <v>-9.2410936788653031E-3</v>
      </c>
      <c r="N22" s="11">
        <f t="shared" si="2"/>
        <v>7.1383437366396019E-3</v>
      </c>
      <c r="O22" s="11">
        <f t="shared" si="3"/>
        <v>1.6398561403508788E-2</v>
      </c>
      <c r="P22" s="11">
        <f t="shared" si="4"/>
        <v>2.5187861386138599E-2</v>
      </c>
      <c r="Q22" s="11">
        <f t="shared" si="5"/>
        <v>-1.026110466721894E-3</v>
      </c>
      <c r="R22" s="11">
        <f t="shared" si="6"/>
        <v>2.4429579868709E-2</v>
      </c>
      <c r="S22" s="11">
        <f t="shared" si="7"/>
        <v>-5.6507882986912977E-3</v>
      </c>
      <c r="T22" s="11">
        <f t="shared" si="8"/>
        <v>-9.9130825496339392E-4</v>
      </c>
      <c r="V22" s="3">
        <v>19</v>
      </c>
      <c r="W22" s="4" t="s">
        <v>18</v>
      </c>
      <c r="X22" s="5">
        <v>0.113426</v>
      </c>
      <c r="Y22" s="5">
        <v>0.31712099999999999</v>
      </c>
      <c r="AA22" s="7" t="s">
        <v>64</v>
      </c>
      <c r="AB22" s="15">
        <v>0.1239712834880056</v>
      </c>
      <c r="AC22" s="15">
        <v>1.6555283488005598E-2</v>
      </c>
      <c r="AD22" s="15">
        <v>5.3464503432926205E-2</v>
      </c>
      <c r="AF22" s="7" t="s">
        <v>108</v>
      </c>
      <c r="AG22" s="15">
        <v>8.465156049593843E-2</v>
      </c>
      <c r="AH22" s="15">
        <v>1.8348560495938429E-2</v>
      </c>
      <c r="AI22" s="15">
        <v>7.3743194781459576E-2</v>
      </c>
      <c r="AK22" s="7" t="s">
        <v>61</v>
      </c>
      <c r="AL22" s="15">
        <v>0.1333333333333333</v>
      </c>
      <c r="AM22" s="15">
        <v>2.3963333333333309E-2</v>
      </c>
      <c r="AN22" s="15">
        <v>7.6778486217465983E-2</v>
      </c>
      <c r="AP22" s="7" t="s">
        <v>50</v>
      </c>
      <c r="AQ22" s="15">
        <v>0.53465346534653468</v>
      </c>
      <c r="AR22" s="15">
        <v>0.14785346534653471</v>
      </c>
      <c r="AS22" s="15">
        <v>0.30358246705336789</v>
      </c>
      <c r="AU22" s="7" t="s">
        <v>62</v>
      </c>
      <c r="AV22" s="15">
        <v>0.12731289698978179</v>
      </c>
      <c r="AW22" s="15">
        <v>2.3852896989781797E-2</v>
      </c>
      <c r="AX22" s="15">
        <v>7.8317404675430358E-2</v>
      </c>
      <c r="AZ22" s="7" t="s">
        <v>44</v>
      </c>
      <c r="BA22" s="15">
        <v>0.32877461706783367</v>
      </c>
      <c r="BB22" s="15">
        <v>7.312861706783369E-2</v>
      </c>
      <c r="BC22" s="15">
        <v>0.16763583176002314</v>
      </c>
      <c r="BE22" s="7" t="s">
        <v>24</v>
      </c>
      <c r="BF22" s="15">
        <v>5.0808314087759807E-2</v>
      </c>
      <c r="BG22" s="15">
        <v>1.7707314087759808E-2</v>
      </c>
      <c r="BH22" s="15">
        <v>9.8975518360255144E-2</v>
      </c>
      <c r="BJ22" s="7" t="s">
        <v>42</v>
      </c>
      <c r="BK22" s="15">
        <v>0.10282131661442009</v>
      </c>
      <c r="BL22" s="15">
        <v>1.6738316614420087E-2</v>
      </c>
      <c r="BM22" s="15">
        <v>5.9674419468580743E-2</v>
      </c>
    </row>
    <row r="23" spans="1:65" x14ac:dyDescent="0.2">
      <c r="A23" s="10" t="s">
        <v>19</v>
      </c>
      <c r="B23" s="12">
        <v>0.1171423568551917</v>
      </c>
      <c r="C23" s="12">
        <v>0.14065840102607949</v>
      </c>
      <c r="D23" s="12">
        <v>8.4210526315789472E-2</v>
      </c>
      <c r="E23" s="12">
        <v>8.9108910891089105E-2</v>
      </c>
      <c r="F23" s="12">
        <v>0.13062689864678259</v>
      </c>
      <c r="G23" s="12">
        <v>9.0809628008752738E-2</v>
      </c>
      <c r="H23" s="12">
        <v>0.1370284834488068</v>
      </c>
      <c r="I23" s="12">
        <v>0.1247648902821317</v>
      </c>
      <c r="J23" s="13">
        <v>0.12243999999999999</v>
      </c>
      <c r="L23" s="7" t="s">
        <v>19</v>
      </c>
      <c r="M23" s="11">
        <f t="shared" si="1"/>
        <v>-5.297643144808295E-3</v>
      </c>
      <c r="N23" s="11">
        <f t="shared" si="2"/>
        <v>1.8218401026079495E-2</v>
      </c>
      <c r="O23" s="11">
        <f t="shared" si="3"/>
        <v>-3.8229473684210522E-2</v>
      </c>
      <c r="P23" s="11">
        <f t="shared" si="4"/>
        <v>-3.3331089108910888E-2</v>
      </c>
      <c r="Q23" s="11">
        <f t="shared" si="5"/>
        <v>8.1868986467825977E-3</v>
      </c>
      <c r="R23" s="11">
        <f t="shared" si="6"/>
        <v>-3.1630371991247255E-2</v>
      </c>
      <c r="S23" s="11">
        <f t="shared" si="7"/>
        <v>1.458848344880681E-2</v>
      </c>
      <c r="T23" s="11">
        <f t="shared" si="8"/>
        <v>2.324890282131703E-3</v>
      </c>
      <c r="V23" s="3">
        <v>20</v>
      </c>
      <c r="W23" s="4" t="s">
        <v>19</v>
      </c>
      <c r="X23" s="5">
        <v>0.12243999999999999</v>
      </c>
      <c r="Y23" s="5">
        <v>0.32780100000000001</v>
      </c>
      <c r="AA23" s="7" t="s">
        <v>74</v>
      </c>
      <c r="AB23" s="15">
        <v>0.1787777972334092</v>
      </c>
      <c r="AC23" s="15">
        <v>1.8529797233409195E-2</v>
      </c>
      <c r="AD23" s="15">
        <v>5.0511243804356599E-2</v>
      </c>
      <c r="AF23" s="7" t="s">
        <v>79</v>
      </c>
      <c r="AG23" s="15">
        <v>2.3086789226165031E-2</v>
      </c>
      <c r="AH23" s="15">
        <v>7.6127892261650312E-3</v>
      </c>
      <c r="AI23" s="15">
        <v>6.1676476947971182E-2</v>
      </c>
      <c r="AK23" s="7" t="s">
        <v>32</v>
      </c>
      <c r="AL23" s="15">
        <v>0.14035087719298239</v>
      </c>
      <c r="AM23" s="15">
        <v>2.1816877192982392E-2</v>
      </c>
      <c r="AN23" s="15">
        <v>6.7492899216334237E-2</v>
      </c>
      <c r="AP23" s="7" t="s">
        <v>69</v>
      </c>
      <c r="AQ23" s="15">
        <v>0.1683168316831683</v>
      </c>
      <c r="AR23" s="15">
        <v>8.4236831683168298E-2</v>
      </c>
      <c r="AS23" s="15">
        <v>0.3035397426559584</v>
      </c>
      <c r="AU23" s="7" t="s">
        <v>61</v>
      </c>
      <c r="AV23" s="15">
        <v>0.1314553990610329</v>
      </c>
      <c r="AW23" s="15">
        <v>2.2085399061032907E-2</v>
      </c>
      <c r="AX23" s="15">
        <v>7.0761587456450947E-2</v>
      </c>
      <c r="AZ23" s="7" t="s">
        <v>100</v>
      </c>
      <c r="BA23" s="15">
        <v>0.1028446389496718</v>
      </c>
      <c r="BB23" s="15">
        <v>3.9596638949671803E-2</v>
      </c>
      <c r="BC23" s="15">
        <v>0.16267131832332357</v>
      </c>
      <c r="BE23" s="7" t="s">
        <v>27</v>
      </c>
      <c r="BF23" s="15">
        <v>0.1162432640492687</v>
      </c>
      <c r="BG23" s="15">
        <v>2.6354264049268702E-2</v>
      </c>
      <c r="BH23" s="15">
        <v>9.2138111559167582E-2</v>
      </c>
      <c r="BJ23" s="7" t="s">
        <v>51</v>
      </c>
      <c r="BK23" s="15">
        <v>0.2016718913270637</v>
      </c>
      <c r="BL23" s="15">
        <v>2.2193891327063703E-2</v>
      </c>
      <c r="BM23" s="15">
        <v>5.7832436059494438E-2</v>
      </c>
    </row>
    <row r="24" spans="1:65" x14ac:dyDescent="0.2">
      <c r="A24" s="10" t="s">
        <v>20</v>
      </c>
      <c r="B24" s="12">
        <v>0.13710383470495541</v>
      </c>
      <c r="C24" s="12">
        <v>0.11286874732791791</v>
      </c>
      <c r="D24" s="12">
        <v>0.1228070175438596</v>
      </c>
      <c r="E24" s="12">
        <v>6.9306930693069313E-2</v>
      </c>
      <c r="F24" s="12">
        <v>0.11626622479977911</v>
      </c>
      <c r="G24" s="12">
        <v>7.932166301969365E-2</v>
      </c>
      <c r="H24" s="12">
        <v>0.1070053887605851</v>
      </c>
      <c r="I24" s="12">
        <v>0.11640543364681299</v>
      </c>
      <c r="J24" s="13">
        <v>0.117732</v>
      </c>
      <c r="L24" s="7" t="s">
        <v>20</v>
      </c>
      <c r="M24" s="11">
        <f t="shared" si="1"/>
        <v>1.9371834704955404E-2</v>
      </c>
      <c r="N24" s="11">
        <f t="shared" si="2"/>
        <v>-4.8632526720820968E-3</v>
      </c>
      <c r="O24" s="11">
        <f t="shared" si="3"/>
        <v>5.0750175438595974E-3</v>
      </c>
      <c r="P24" s="11">
        <f t="shared" si="4"/>
        <v>-4.842506930693069E-2</v>
      </c>
      <c r="Q24" s="11">
        <f t="shared" si="5"/>
        <v>-1.4657752002208979E-3</v>
      </c>
      <c r="R24" s="11">
        <f t="shared" si="6"/>
        <v>-3.8410336980306353E-2</v>
      </c>
      <c r="S24" s="11">
        <f t="shared" si="7"/>
        <v>-1.0726611239414902E-2</v>
      </c>
      <c r="T24" s="11">
        <f t="shared" si="8"/>
        <v>-1.3265663531870087E-3</v>
      </c>
      <c r="V24" s="3">
        <v>21</v>
      </c>
      <c r="W24" s="4" t="s">
        <v>20</v>
      </c>
      <c r="X24" s="5">
        <v>0.117732</v>
      </c>
      <c r="Y24" s="5">
        <v>0.322299</v>
      </c>
      <c r="AA24" s="7" t="s">
        <v>75</v>
      </c>
      <c r="AB24" s="15">
        <v>0.12187007529329361</v>
      </c>
      <c r="AC24" s="15">
        <v>1.5555075293293599E-2</v>
      </c>
      <c r="AD24" s="15">
        <v>5.0462858780247068E-2</v>
      </c>
      <c r="AF24" s="7" t="s">
        <v>91</v>
      </c>
      <c r="AG24" s="15">
        <v>0.15433946130825141</v>
      </c>
      <c r="AH24" s="15">
        <v>2.0031461308251397E-2</v>
      </c>
      <c r="AI24" s="15">
        <v>5.8744666467985748E-2</v>
      </c>
      <c r="AK24" s="7" t="s">
        <v>82</v>
      </c>
      <c r="AL24" s="15">
        <v>7.0175438596491229E-3</v>
      </c>
      <c r="AM24" s="15">
        <v>3.812543859649123E-3</v>
      </c>
      <c r="AN24" s="15">
        <v>6.7451194374840748E-2</v>
      </c>
      <c r="AP24" s="7" t="s">
        <v>67</v>
      </c>
      <c r="AQ24" s="15">
        <v>0.21782178217821779</v>
      </c>
      <c r="AR24" s="15">
        <v>9.803578217821779E-2</v>
      </c>
      <c r="AS24" s="15">
        <v>0.30190959623002595</v>
      </c>
      <c r="AU24" s="7" t="s">
        <v>97</v>
      </c>
      <c r="AV24" s="15">
        <v>0.1245512289422811</v>
      </c>
      <c r="AW24" s="15">
        <v>2.1491228942281101E-2</v>
      </c>
      <c r="AX24" s="15">
        <v>7.0684368900265096E-2</v>
      </c>
      <c r="AZ24" s="7" t="s">
        <v>28</v>
      </c>
      <c r="BA24" s="15">
        <v>0.50656455142231949</v>
      </c>
      <c r="BB24" s="15">
        <v>7.5596551422319469E-2</v>
      </c>
      <c r="BC24" s="15">
        <v>0.15265122736846248</v>
      </c>
      <c r="BE24" s="7" t="s">
        <v>109</v>
      </c>
      <c r="BF24" s="15">
        <v>3.9260969976905313E-2</v>
      </c>
      <c r="BG24" s="15">
        <v>1.2969969976905315E-2</v>
      </c>
      <c r="BH24" s="15">
        <v>8.1060792465799475E-2</v>
      </c>
      <c r="BJ24" s="7" t="s">
        <v>63</v>
      </c>
      <c r="BK24" s="15">
        <v>0.12915360501567399</v>
      </c>
      <c r="BL24" s="15">
        <v>1.6629605015673996E-2</v>
      </c>
      <c r="BM24" s="15">
        <v>5.2622334853312136E-2</v>
      </c>
    </row>
    <row r="25" spans="1:65" x14ac:dyDescent="0.2">
      <c r="A25" s="10" t="s">
        <v>21</v>
      </c>
      <c r="B25" s="12">
        <v>5.3755909648047627E-2</v>
      </c>
      <c r="C25" s="12">
        <v>5.3014108593415987E-2</v>
      </c>
      <c r="D25" s="12">
        <v>6.6666666666666666E-2</v>
      </c>
      <c r="E25" s="12">
        <v>5.9405940594059403E-2</v>
      </c>
      <c r="F25" s="12">
        <v>6.0480530240265118E-2</v>
      </c>
      <c r="G25" s="12">
        <v>5.2516411378555797E-2</v>
      </c>
      <c r="H25" s="12">
        <v>6.5434949961508851E-2</v>
      </c>
      <c r="I25" s="12">
        <v>5.8098223615465003E-2</v>
      </c>
      <c r="J25" s="13">
        <v>5.6787999999999998E-2</v>
      </c>
      <c r="L25" s="7" t="s">
        <v>21</v>
      </c>
      <c r="M25" s="11">
        <f t="shared" si="1"/>
        <v>-3.0320903519523712E-3</v>
      </c>
      <c r="N25" s="11">
        <f t="shared" si="2"/>
        <v>-3.773891406584011E-3</v>
      </c>
      <c r="O25" s="11">
        <f t="shared" si="3"/>
        <v>9.8786666666666675E-3</v>
      </c>
      <c r="P25" s="11">
        <f t="shared" si="4"/>
        <v>2.617940594059405E-3</v>
      </c>
      <c r="Q25" s="11">
        <f t="shared" si="5"/>
        <v>3.6925302402651197E-3</v>
      </c>
      <c r="R25" s="11">
        <f t="shared" si="6"/>
        <v>-4.2715886214442014E-3</v>
      </c>
      <c r="S25" s="11">
        <f t="shared" si="7"/>
        <v>8.6469499615088527E-3</v>
      </c>
      <c r="T25" s="11">
        <f t="shared" si="8"/>
        <v>1.3102236154650046E-3</v>
      </c>
      <c r="V25" s="3">
        <v>22</v>
      </c>
      <c r="W25" s="4" t="s">
        <v>21</v>
      </c>
      <c r="X25" s="5">
        <v>5.6787999999999998E-2</v>
      </c>
      <c r="Y25" s="5">
        <v>0.23144300000000001</v>
      </c>
      <c r="AA25" s="7" t="s">
        <v>90</v>
      </c>
      <c r="AB25" s="15">
        <v>0.27805988443354929</v>
      </c>
      <c r="AC25" s="15">
        <v>1.6854884433549266E-2</v>
      </c>
      <c r="AD25" s="15">
        <v>3.8367420211037659E-2</v>
      </c>
      <c r="AF25" s="7" t="s">
        <v>38</v>
      </c>
      <c r="AG25" s="15">
        <v>0.12013681060282171</v>
      </c>
      <c r="AH25" s="15">
        <v>1.7627810602821703E-2</v>
      </c>
      <c r="AI25" s="15">
        <v>5.8115449495660429E-2</v>
      </c>
      <c r="AK25" s="7" t="s">
        <v>55</v>
      </c>
      <c r="AL25" s="15">
        <v>3.8596491228070177E-2</v>
      </c>
      <c r="AM25" s="15">
        <v>1.0853491228070177E-2</v>
      </c>
      <c r="AN25" s="15">
        <v>6.6083117560096064E-2</v>
      </c>
      <c r="AP25" s="7" t="s">
        <v>26</v>
      </c>
      <c r="AQ25" s="15">
        <v>0.1683168316831683</v>
      </c>
      <c r="AR25" s="15">
        <v>7.9078831683168302E-2</v>
      </c>
      <c r="AS25" s="15">
        <v>0.27737712581128504</v>
      </c>
      <c r="AU25" s="7" t="s">
        <v>92</v>
      </c>
      <c r="AV25" s="15">
        <v>2.0436343551505112E-2</v>
      </c>
      <c r="AW25" s="15">
        <v>7.466343551505111E-3</v>
      </c>
      <c r="AX25" s="15">
        <v>6.5987410749682812E-2</v>
      </c>
      <c r="AZ25" s="7" t="s">
        <v>93</v>
      </c>
      <c r="BA25" s="15">
        <v>89.213730853391695</v>
      </c>
      <c r="BB25" s="15">
        <v>1.8125338533916988</v>
      </c>
      <c r="BC25" s="15">
        <v>0.14806047693058261</v>
      </c>
      <c r="BE25" s="7" t="s">
        <v>73</v>
      </c>
      <c r="BF25" s="15">
        <v>0.22709776751347191</v>
      </c>
      <c r="BG25" s="15">
        <v>3.0642767513471919E-2</v>
      </c>
      <c r="BH25" s="15">
        <v>7.712248257972526E-2</v>
      </c>
      <c r="BJ25" s="7" t="s">
        <v>48</v>
      </c>
      <c r="BK25" s="15">
        <v>3.2392894461859979E-2</v>
      </c>
      <c r="BL25" s="15">
        <v>7.7048944618599777E-3</v>
      </c>
      <c r="BM25" s="15">
        <v>4.9652296808547512E-2</v>
      </c>
    </row>
    <row r="26" spans="1:65" x14ac:dyDescent="0.2">
      <c r="A26" s="10" t="s">
        <v>22</v>
      </c>
      <c r="B26" s="12">
        <v>0.12572229031693219</v>
      </c>
      <c r="C26" s="12">
        <v>9.961522017956391E-2</v>
      </c>
      <c r="D26" s="12">
        <v>0.1157894736842105</v>
      </c>
      <c r="E26" s="12">
        <v>0.12871287128712869</v>
      </c>
      <c r="F26" s="12">
        <v>0.1223418945042806</v>
      </c>
      <c r="G26" s="12">
        <v>9.6827133479212249E-2</v>
      </c>
      <c r="H26" s="12">
        <v>0.1000769822940724</v>
      </c>
      <c r="I26" s="12">
        <v>0.1235109717868339</v>
      </c>
      <c r="J26" s="13">
        <v>0.117081</v>
      </c>
      <c r="L26" s="7" t="s">
        <v>22</v>
      </c>
      <c r="M26" s="11">
        <f t="shared" si="1"/>
        <v>8.6412903169321847E-3</v>
      </c>
      <c r="N26" s="11">
        <f t="shared" si="2"/>
        <v>-1.7465779820436095E-2</v>
      </c>
      <c r="O26" s="11">
        <f t="shared" si="3"/>
        <v>-1.2915263157895068E-3</v>
      </c>
      <c r="P26" s="11">
        <f t="shared" si="4"/>
        <v>1.1631871287128684E-2</v>
      </c>
      <c r="Q26" s="11">
        <f t="shared" si="5"/>
        <v>5.2608945042805916E-3</v>
      </c>
      <c r="R26" s="11">
        <f t="shared" si="6"/>
        <v>-2.0253866520787756E-2</v>
      </c>
      <c r="S26" s="11">
        <f t="shared" si="7"/>
        <v>-1.7004017705927604E-2</v>
      </c>
      <c r="T26" s="11">
        <f t="shared" si="8"/>
        <v>6.4299717868338963E-3</v>
      </c>
      <c r="V26" s="3">
        <v>23</v>
      </c>
      <c r="W26" s="4" t="s">
        <v>22</v>
      </c>
      <c r="X26" s="5">
        <v>0.117081</v>
      </c>
      <c r="Y26" s="5">
        <v>0.32152500000000001</v>
      </c>
      <c r="AA26" s="7" t="s">
        <v>35</v>
      </c>
      <c r="AB26" s="15">
        <v>0.12484678690246891</v>
      </c>
      <c r="AC26" s="15">
        <v>9.918786902468904E-3</v>
      </c>
      <c r="AD26" s="15">
        <v>3.1098932732397028E-2</v>
      </c>
      <c r="AF26" s="7" t="s">
        <v>19</v>
      </c>
      <c r="AG26" s="15">
        <v>0.14065840102607949</v>
      </c>
      <c r="AH26" s="15">
        <v>1.8218401026079495E-2</v>
      </c>
      <c r="AI26" s="15">
        <v>5.557762491901945E-2</v>
      </c>
      <c r="AK26" s="7" t="s">
        <v>27</v>
      </c>
      <c r="AL26" s="15">
        <v>0.10877192982456139</v>
      </c>
      <c r="AM26" s="15">
        <v>1.8882929824561398E-2</v>
      </c>
      <c r="AN26" s="15">
        <v>6.601730526364856E-2</v>
      </c>
      <c r="AP26" s="7" t="s">
        <v>79</v>
      </c>
      <c r="AQ26" s="15">
        <v>4.9504950495049507E-2</v>
      </c>
      <c r="AR26" s="15">
        <v>3.4030950495049506E-2</v>
      </c>
      <c r="AS26" s="15">
        <v>0.2757082944726163</v>
      </c>
      <c r="AU26" s="7" t="s">
        <v>54</v>
      </c>
      <c r="AV26" s="15">
        <v>0.1151615575807788</v>
      </c>
      <c r="AW26" s="15">
        <v>1.8862557580778802E-2</v>
      </c>
      <c r="AX26" s="15">
        <v>6.3938922476191581E-2</v>
      </c>
      <c r="AZ26" s="7" t="s">
        <v>68</v>
      </c>
      <c r="BA26" s="15">
        <v>0.1613785557986871</v>
      </c>
      <c r="BB26" s="15">
        <v>4.4697555798687089E-2</v>
      </c>
      <c r="BC26" s="15">
        <v>0.13922390358665088</v>
      </c>
      <c r="BE26" s="7" t="s">
        <v>36</v>
      </c>
      <c r="BF26" s="15">
        <v>0.1331793687451886</v>
      </c>
      <c r="BG26" s="15">
        <v>2.1356368745188592E-2</v>
      </c>
      <c r="BH26" s="15">
        <v>6.7764221467994018E-2</v>
      </c>
      <c r="BJ26" s="7" t="s">
        <v>62</v>
      </c>
      <c r="BK26" s="15">
        <v>0.1174503657262278</v>
      </c>
      <c r="BL26" s="15">
        <v>1.3990365726227805E-2</v>
      </c>
      <c r="BM26" s="15">
        <v>4.5935264576358589E-2</v>
      </c>
    </row>
    <row r="27" spans="1:65" x14ac:dyDescent="0.2">
      <c r="A27" s="10" t="s">
        <v>23</v>
      </c>
      <c r="B27" s="12">
        <v>9.1052355104184902E-3</v>
      </c>
      <c r="C27" s="12">
        <v>5.9854638734501923E-3</v>
      </c>
      <c r="D27" s="12">
        <v>2.1052631578947371E-2</v>
      </c>
      <c r="E27" s="12">
        <v>1.9801980198019799E-2</v>
      </c>
      <c r="F27" s="12">
        <v>9.1135045567522777E-3</v>
      </c>
      <c r="G27" s="12">
        <v>4.9234135667396064E-3</v>
      </c>
      <c r="H27" s="12">
        <v>1.231716705157814E-2</v>
      </c>
      <c r="I27" s="12">
        <v>7.5235109717868339E-3</v>
      </c>
      <c r="J27" s="13">
        <v>8.4130000000000003E-3</v>
      </c>
      <c r="L27" s="7" t="s">
        <v>23</v>
      </c>
      <c r="M27" s="11">
        <f t="shared" si="1"/>
        <v>6.9223551041848984E-4</v>
      </c>
      <c r="N27" s="11">
        <f t="shared" si="2"/>
        <v>-2.4275361265498081E-3</v>
      </c>
      <c r="O27" s="11">
        <f t="shared" si="3"/>
        <v>1.2639631578947371E-2</v>
      </c>
      <c r="P27" s="11">
        <f t="shared" si="4"/>
        <v>1.1388980198019798E-2</v>
      </c>
      <c r="Q27" s="11">
        <f t="shared" si="5"/>
        <v>7.0050455675227732E-4</v>
      </c>
      <c r="R27" s="11">
        <f t="shared" si="6"/>
        <v>-3.489586433260394E-3</v>
      </c>
      <c r="S27" s="11">
        <f t="shared" si="7"/>
        <v>3.9041670515781394E-3</v>
      </c>
      <c r="T27" s="11">
        <f t="shared" si="8"/>
        <v>-8.8948902821316643E-4</v>
      </c>
      <c r="V27" s="3">
        <v>24</v>
      </c>
      <c r="W27" s="4" t="s">
        <v>23</v>
      </c>
      <c r="X27" s="5">
        <v>8.4130000000000003E-3</v>
      </c>
      <c r="Y27" s="5">
        <v>9.1338000000000003E-2</v>
      </c>
      <c r="AA27" s="7" t="s">
        <v>22</v>
      </c>
      <c r="AB27" s="15">
        <v>0.12572229031693219</v>
      </c>
      <c r="AC27" s="15">
        <v>8.6412903169321847E-3</v>
      </c>
      <c r="AD27" s="15">
        <v>2.6875951533884408E-2</v>
      </c>
      <c r="AF27" s="7" t="s">
        <v>24</v>
      </c>
      <c r="AG27" s="15">
        <v>4.2325780247969208E-2</v>
      </c>
      <c r="AH27" s="15">
        <v>9.2247802479692095E-3</v>
      </c>
      <c r="AI27" s="15">
        <v>5.1562162520928358E-2</v>
      </c>
      <c r="AK27" s="7" t="s">
        <v>13</v>
      </c>
      <c r="AL27" s="15">
        <v>1.428070175438596</v>
      </c>
      <c r="AM27" s="15">
        <v>4.0670175438596079E-2</v>
      </c>
      <c r="AN27" s="15">
        <v>5.9253751879220308E-2</v>
      </c>
      <c r="AP27" s="7" t="s">
        <v>42</v>
      </c>
      <c r="AQ27" s="15">
        <v>0.14851485148514851</v>
      </c>
      <c r="AR27" s="15">
        <v>6.2431851485148501E-2</v>
      </c>
      <c r="AS27" s="15">
        <v>0.22257820661100949</v>
      </c>
      <c r="AU27" s="7" t="s">
        <v>41</v>
      </c>
      <c r="AV27" s="15">
        <v>0.16625241645954161</v>
      </c>
      <c r="AW27" s="15">
        <v>1.9875416459541606E-2</v>
      </c>
      <c r="AX27" s="15">
        <v>5.6225770975780583E-2</v>
      </c>
      <c r="AZ27" s="7" t="s">
        <v>51</v>
      </c>
      <c r="BA27" s="15">
        <v>0.22702407002188191</v>
      </c>
      <c r="BB27" s="15">
        <v>4.7546070021881909E-2</v>
      </c>
      <c r="BC27" s="15">
        <v>0.12389467957192715</v>
      </c>
      <c r="BE27" s="7" t="s">
        <v>34</v>
      </c>
      <c r="BF27" s="15">
        <v>0.13779830638953039</v>
      </c>
      <c r="BG27" s="15">
        <v>1.9164306389530386E-2</v>
      </c>
      <c r="BH27" s="15">
        <v>5.9265246361017383E-2</v>
      </c>
      <c r="BJ27" s="7" t="s">
        <v>47</v>
      </c>
      <c r="BK27" s="15">
        <v>8.4012539184952981E-2</v>
      </c>
      <c r="BL27" s="15">
        <v>1.1700539184952979E-2</v>
      </c>
      <c r="BM27" s="15">
        <v>4.5174082795849502E-2</v>
      </c>
    </row>
    <row r="28" spans="1:65" x14ac:dyDescent="0.2">
      <c r="A28" s="10" t="s">
        <v>24</v>
      </c>
      <c r="B28" s="12">
        <v>2.468919628786552E-2</v>
      </c>
      <c r="C28" s="12">
        <v>4.2325780247969208E-2</v>
      </c>
      <c r="D28" s="12">
        <v>4.2105263157894743E-2</v>
      </c>
      <c r="E28" s="12">
        <v>3.9603960396039598E-2</v>
      </c>
      <c r="F28" s="12">
        <v>2.595967964650649E-2</v>
      </c>
      <c r="G28" s="12">
        <v>7.2757111597374177E-2</v>
      </c>
      <c r="H28" s="12">
        <v>5.0808314087759807E-2</v>
      </c>
      <c r="I28" s="12">
        <v>2.3406478578892369E-2</v>
      </c>
      <c r="J28" s="13">
        <v>3.3100999999999998E-2</v>
      </c>
      <c r="L28" s="7" t="s">
        <v>24</v>
      </c>
      <c r="M28" s="11">
        <f t="shared" si="1"/>
        <v>-8.4118037121344788E-3</v>
      </c>
      <c r="N28" s="11">
        <f t="shared" si="2"/>
        <v>9.2247802479692095E-3</v>
      </c>
      <c r="O28" s="11">
        <f t="shared" si="3"/>
        <v>9.0042631578947444E-3</v>
      </c>
      <c r="P28" s="11">
        <f t="shared" si="4"/>
        <v>6.502960396039599E-3</v>
      </c>
      <c r="Q28" s="11">
        <f t="shared" si="5"/>
        <v>-7.1413203534935084E-3</v>
      </c>
      <c r="R28" s="11">
        <f t="shared" si="6"/>
        <v>3.9656111597374179E-2</v>
      </c>
      <c r="S28" s="11">
        <f t="shared" si="7"/>
        <v>1.7707314087759808E-2</v>
      </c>
      <c r="T28" s="11">
        <f t="shared" si="8"/>
        <v>-9.694521421107629E-3</v>
      </c>
      <c r="V28" s="3">
        <v>25</v>
      </c>
      <c r="W28" s="4" t="s">
        <v>24</v>
      </c>
      <c r="X28" s="5">
        <v>3.3100999999999998E-2</v>
      </c>
      <c r="Y28" s="5">
        <v>0.17890600000000001</v>
      </c>
      <c r="AA28" s="7" t="s">
        <v>14</v>
      </c>
      <c r="AB28" s="15">
        <v>0.27350726667834002</v>
      </c>
      <c r="AC28" s="15">
        <v>1.1351266678340022E-2</v>
      </c>
      <c r="AD28" s="15">
        <v>2.5809008904455984E-2</v>
      </c>
      <c r="AF28" s="7" t="s">
        <v>8</v>
      </c>
      <c r="AG28" s="15">
        <v>1.7956391620350579E-2</v>
      </c>
      <c r="AH28" s="15">
        <v>5.437391620350578E-3</v>
      </c>
      <c r="AI28" s="15">
        <v>4.8901804302100713E-2</v>
      </c>
      <c r="AK28" s="7" t="s">
        <v>28</v>
      </c>
      <c r="AL28" s="15">
        <v>0.45964912280701747</v>
      </c>
      <c r="AM28" s="15">
        <v>2.8681122807017456E-2</v>
      </c>
      <c r="AN28" s="15">
        <v>5.7915454030938437E-2</v>
      </c>
      <c r="AP28" s="7" t="s">
        <v>28</v>
      </c>
      <c r="AQ28" s="15">
        <v>0.51485148514851486</v>
      </c>
      <c r="AR28" s="15">
        <v>8.3883485148514847E-2</v>
      </c>
      <c r="AS28" s="15">
        <v>0.16938493519804138</v>
      </c>
      <c r="AU28" s="7" t="s">
        <v>56</v>
      </c>
      <c r="AV28" s="15">
        <v>4.5567522783761402E-2</v>
      </c>
      <c r="AW28" s="15">
        <v>8.109522783761404E-3</v>
      </c>
      <c r="AX28" s="15">
        <v>4.2707323255855641E-2</v>
      </c>
      <c r="AZ28" s="7" t="s">
        <v>27</v>
      </c>
      <c r="BA28" s="15">
        <v>0.12527352297593</v>
      </c>
      <c r="BB28" s="15">
        <v>3.5384522975930005E-2</v>
      </c>
      <c r="BC28" s="15">
        <v>0.12370913182508829</v>
      </c>
      <c r="BE28" s="7" t="s">
        <v>30</v>
      </c>
      <c r="BF28" s="15">
        <v>0.1493456505003849</v>
      </c>
      <c r="BG28" s="15">
        <v>1.84926505003849E-2</v>
      </c>
      <c r="BH28" s="15">
        <v>5.4833981225640774E-2</v>
      </c>
      <c r="BJ28" s="7" t="s">
        <v>79</v>
      </c>
      <c r="BK28" s="15">
        <v>2.0689655172413789E-2</v>
      </c>
      <c r="BL28" s="15">
        <v>5.2156551724137894E-3</v>
      </c>
      <c r="BM28" s="15">
        <v>4.2255634098514877E-2</v>
      </c>
    </row>
    <row r="29" spans="1:65" x14ac:dyDescent="0.2">
      <c r="A29" s="10" t="s">
        <v>25</v>
      </c>
      <c r="B29" s="12">
        <v>0.119593766415689</v>
      </c>
      <c r="C29" s="12">
        <v>0.1107310816588286</v>
      </c>
      <c r="D29" s="12">
        <v>8.771929824561403E-2</v>
      </c>
      <c r="E29" s="12">
        <v>7.9207920792079209E-2</v>
      </c>
      <c r="F29" s="12">
        <v>0.10991438829052751</v>
      </c>
      <c r="G29" s="12">
        <v>9.6280087527352301E-2</v>
      </c>
      <c r="H29" s="12">
        <v>0.12779060816012319</v>
      </c>
      <c r="I29" s="12">
        <v>0.1151515151515152</v>
      </c>
      <c r="J29" s="13">
        <v>0.11347599999999999</v>
      </c>
      <c r="L29" s="7" t="s">
        <v>25</v>
      </c>
      <c r="M29" s="11">
        <f t="shared" si="1"/>
        <v>6.1177664156890077E-3</v>
      </c>
      <c r="N29" s="11">
        <f t="shared" si="2"/>
        <v>-2.7449183411713957E-3</v>
      </c>
      <c r="O29" s="11">
        <f t="shared" si="3"/>
        <v>-2.5756701754385963E-2</v>
      </c>
      <c r="P29" s="11">
        <f t="shared" si="4"/>
        <v>-3.4268079207920785E-2</v>
      </c>
      <c r="Q29" s="11">
        <f t="shared" si="5"/>
        <v>-3.561611709472487E-3</v>
      </c>
      <c r="R29" s="11">
        <f t="shared" si="6"/>
        <v>-1.7195912472647693E-2</v>
      </c>
      <c r="S29" s="11">
        <f t="shared" si="7"/>
        <v>1.4314608160123199E-2</v>
      </c>
      <c r="T29" s="11">
        <f t="shared" si="8"/>
        <v>1.6755151515152056E-3</v>
      </c>
      <c r="V29" s="3">
        <v>26</v>
      </c>
      <c r="W29" s="4" t="s">
        <v>25</v>
      </c>
      <c r="X29" s="5">
        <v>0.11347599999999999</v>
      </c>
      <c r="Y29" s="5">
        <v>0.31718200000000002</v>
      </c>
      <c r="AA29" s="7" t="s">
        <v>46</v>
      </c>
      <c r="AB29" s="15">
        <v>0.14235685519173519</v>
      </c>
      <c r="AC29" s="15">
        <v>8.5498551917351784E-3</v>
      </c>
      <c r="AD29" s="15">
        <v>2.5113099542772823E-2</v>
      </c>
      <c r="AF29" s="7" t="s">
        <v>97</v>
      </c>
      <c r="AG29" s="15">
        <v>0.1175716117999145</v>
      </c>
      <c r="AH29" s="15">
        <v>1.4511611799914503E-2</v>
      </c>
      <c r="AI29" s="15">
        <v>4.7728500057276073E-2</v>
      </c>
      <c r="AK29" s="7" t="s">
        <v>34</v>
      </c>
      <c r="AL29" s="15">
        <v>0.1368421052631579</v>
      </c>
      <c r="AM29" s="15">
        <v>1.82081052631579E-2</v>
      </c>
      <c r="AN29" s="15">
        <v>5.630821289613254E-2</v>
      </c>
      <c r="AP29" s="7" t="s">
        <v>48</v>
      </c>
      <c r="AQ29" s="15">
        <v>4.9504950495049507E-2</v>
      </c>
      <c r="AR29" s="15">
        <v>2.4816950495049506E-2</v>
      </c>
      <c r="AS29" s="15">
        <v>0.15992673202246147</v>
      </c>
      <c r="AU29" s="7" t="s">
        <v>32</v>
      </c>
      <c r="AV29" s="15">
        <v>0.13200773267053301</v>
      </c>
      <c r="AW29" s="15">
        <v>1.3473732670533006E-2</v>
      </c>
      <c r="AX29" s="15">
        <v>4.1682467804907718E-2</v>
      </c>
      <c r="AZ29" s="7" t="s">
        <v>10</v>
      </c>
      <c r="BA29" s="15">
        <v>0.52188183807439825</v>
      </c>
      <c r="BB29" s="15">
        <v>5.330583807439826E-2</v>
      </c>
      <c r="BC29" s="15">
        <v>0.106820189158033</v>
      </c>
      <c r="BE29" s="7" t="s">
        <v>37</v>
      </c>
      <c r="BF29" s="15">
        <v>0.1247113163972286</v>
      </c>
      <c r="BG29" s="15">
        <v>1.6694316397228598E-2</v>
      </c>
      <c r="BH29" s="15">
        <v>5.3781503164294309E-2</v>
      </c>
      <c r="BJ29" s="7" t="s">
        <v>55</v>
      </c>
      <c r="BK29" s="15">
        <v>3.4482758620689648E-2</v>
      </c>
      <c r="BL29" s="15">
        <v>6.7397586206896475E-3</v>
      </c>
      <c r="BM29" s="15">
        <v>4.103603641433054E-2</v>
      </c>
    </row>
    <row r="30" spans="1:65" x14ac:dyDescent="0.2">
      <c r="A30" s="10" t="s">
        <v>26</v>
      </c>
      <c r="B30" s="12">
        <v>8.8075643495009626E-2</v>
      </c>
      <c r="C30" s="12">
        <v>8.8926891834117144E-2</v>
      </c>
      <c r="D30" s="12">
        <v>8.771929824561403E-2</v>
      </c>
      <c r="E30" s="12">
        <v>0.1683168316831683</v>
      </c>
      <c r="F30" s="12">
        <v>8.4230875448771059E-2</v>
      </c>
      <c r="G30" s="12">
        <v>0.1061269146608315</v>
      </c>
      <c r="H30" s="12">
        <v>8.4680523479599687E-2</v>
      </c>
      <c r="I30" s="12">
        <v>8.7774294670846395E-2</v>
      </c>
      <c r="J30" s="13">
        <v>8.9237999999999998E-2</v>
      </c>
      <c r="L30" s="7" t="s">
        <v>26</v>
      </c>
      <c r="M30" s="11">
        <f t="shared" si="1"/>
        <v>-1.1623565049903722E-3</v>
      </c>
      <c r="N30" s="11">
        <f t="shared" si="2"/>
        <v>-3.111081658828535E-4</v>
      </c>
      <c r="O30" s="11">
        <f t="shared" si="3"/>
        <v>-1.5187017543859677E-3</v>
      </c>
      <c r="P30" s="11">
        <f t="shared" si="4"/>
        <v>7.9078831683168302E-2</v>
      </c>
      <c r="Q30" s="11">
        <f t="shared" si="5"/>
        <v>-5.0071245512289392E-3</v>
      </c>
      <c r="R30" s="11">
        <f t="shared" si="6"/>
        <v>1.6888914660831505E-2</v>
      </c>
      <c r="S30" s="11">
        <f t="shared" si="7"/>
        <v>-4.5574765204003109E-3</v>
      </c>
      <c r="T30" s="11">
        <f t="shared" si="8"/>
        <v>-1.4637053291536029E-3</v>
      </c>
      <c r="V30" s="3">
        <v>27</v>
      </c>
      <c r="W30" s="4" t="s">
        <v>26</v>
      </c>
      <c r="X30" s="5">
        <v>8.9237999999999998E-2</v>
      </c>
      <c r="Y30" s="5">
        <v>0.28509499999999999</v>
      </c>
      <c r="AA30" s="7" t="s">
        <v>65</v>
      </c>
      <c r="AB30" s="15">
        <v>0.1164419541236211</v>
      </c>
      <c r="AC30" s="15">
        <v>6.8219541236211045E-3</v>
      </c>
      <c r="AD30" s="15">
        <v>2.1835633495680871E-2</v>
      </c>
      <c r="AF30" s="7" t="s">
        <v>30</v>
      </c>
      <c r="AG30" s="15">
        <v>0.14664386489952971</v>
      </c>
      <c r="AH30" s="15">
        <v>1.5790864899529716E-2</v>
      </c>
      <c r="AI30" s="15">
        <v>4.6822708806367172E-2</v>
      </c>
      <c r="AK30" s="7" t="s">
        <v>77</v>
      </c>
      <c r="AL30" s="15">
        <v>0.1228070175438596</v>
      </c>
      <c r="AM30" s="15">
        <v>1.6993017543859595E-2</v>
      </c>
      <c r="AN30" s="15">
        <v>5.5242623034780072E-2</v>
      </c>
      <c r="AP30" s="7" t="s">
        <v>10</v>
      </c>
      <c r="AQ30" s="15">
        <v>0.54455445544554459</v>
      </c>
      <c r="AR30" s="15">
        <v>7.5978455445544602E-2</v>
      </c>
      <c r="AS30" s="15">
        <v>0.15225411091559643</v>
      </c>
      <c r="AU30" s="7" t="s">
        <v>82</v>
      </c>
      <c r="AV30" s="15">
        <v>5.5233360950013811E-3</v>
      </c>
      <c r="AW30" s="15">
        <v>2.3183360950013812E-3</v>
      </c>
      <c r="AX30" s="15">
        <v>4.1015800559088891E-2</v>
      </c>
      <c r="AZ30" s="7" t="s">
        <v>16</v>
      </c>
      <c r="BA30" s="15">
        <v>0.14496717724288841</v>
      </c>
      <c r="BB30" s="15">
        <v>3.2693177242888408E-2</v>
      </c>
      <c r="BC30" s="15">
        <v>0.10355412780323905</v>
      </c>
      <c r="BE30" s="7" t="s">
        <v>12</v>
      </c>
      <c r="BF30" s="15">
        <v>0.44649730561970752</v>
      </c>
      <c r="BG30" s="15">
        <v>2.6145305619707515E-2</v>
      </c>
      <c r="BH30" s="15">
        <v>5.2965604908367263E-2</v>
      </c>
      <c r="BJ30" s="7" t="s">
        <v>34</v>
      </c>
      <c r="BK30" s="15">
        <v>0.1301985370950888</v>
      </c>
      <c r="BL30" s="15">
        <v>1.1564537095088798E-2</v>
      </c>
      <c r="BM30" s="15">
        <v>3.5763107000104516E-2</v>
      </c>
    </row>
    <row r="31" spans="1:65" x14ac:dyDescent="0.2">
      <c r="A31" s="10" t="s">
        <v>27</v>
      </c>
      <c r="B31" s="12">
        <v>7.8445105935913154E-2</v>
      </c>
      <c r="C31" s="12">
        <v>9.5339888841385209E-2</v>
      </c>
      <c r="D31" s="12">
        <v>0.10877192982456139</v>
      </c>
      <c r="E31" s="12">
        <v>9.9009900990099015E-2</v>
      </c>
      <c r="F31" s="12">
        <v>8.6440209886771605E-2</v>
      </c>
      <c r="G31" s="12">
        <v>0.12527352297593</v>
      </c>
      <c r="H31" s="12">
        <v>0.1162432640492687</v>
      </c>
      <c r="I31" s="12">
        <v>8.1504702194357362E-2</v>
      </c>
      <c r="J31" s="13">
        <v>8.9888999999999997E-2</v>
      </c>
      <c r="L31" s="7" t="s">
        <v>27</v>
      </c>
      <c r="M31" s="11">
        <f t="shared" si="1"/>
        <v>-1.1443894064086843E-2</v>
      </c>
      <c r="N31" s="11">
        <f t="shared" si="2"/>
        <v>5.4508888413852125E-3</v>
      </c>
      <c r="O31" s="11">
        <f t="shared" si="3"/>
        <v>1.8882929824561398E-2</v>
      </c>
      <c r="P31" s="11">
        <f t="shared" si="4"/>
        <v>9.1209009900990179E-3</v>
      </c>
      <c r="Q31" s="11">
        <f t="shared" si="5"/>
        <v>-3.4487901132283921E-3</v>
      </c>
      <c r="R31" s="11">
        <f t="shared" si="6"/>
        <v>3.5384522975930005E-2</v>
      </c>
      <c r="S31" s="11">
        <f t="shared" si="7"/>
        <v>2.6354264049268702E-2</v>
      </c>
      <c r="T31" s="11">
        <f t="shared" si="8"/>
        <v>-8.3842978056426348E-3</v>
      </c>
      <c r="V31" s="3">
        <v>28</v>
      </c>
      <c r="W31" s="4" t="s">
        <v>27</v>
      </c>
      <c r="X31" s="5">
        <v>8.9888999999999997E-2</v>
      </c>
      <c r="Y31" s="5">
        <v>0.28603000000000001</v>
      </c>
      <c r="AA31" s="7" t="s">
        <v>1</v>
      </c>
      <c r="AB31" s="15">
        <v>0.15741551392050429</v>
      </c>
      <c r="AC31" s="15">
        <v>7.1825139205042854E-3</v>
      </c>
      <c r="AD31" s="15">
        <v>2.0101743931018295E-2</v>
      </c>
      <c r="AF31" s="7" t="s">
        <v>73</v>
      </c>
      <c r="AG31" s="15">
        <v>0.21504916631038909</v>
      </c>
      <c r="AH31" s="15">
        <v>1.8594166310389099E-2</v>
      </c>
      <c r="AI31" s="15">
        <v>4.6798262158502336E-2</v>
      </c>
      <c r="AK31" s="7" t="s">
        <v>72</v>
      </c>
      <c r="AL31" s="15">
        <v>3.214035087719298</v>
      </c>
      <c r="AM31" s="15">
        <v>8.8891087719297879E-2</v>
      </c>
      <c r="AN31" s="15">
        <v>5.1874883047641485E-2</v>
      </c>
      <c r="AP31" s="7" t="s">
        <v>33</v>
      </c>
      <c r="AQ31" s="15">
        <v>0.1683168316831683</v>
      </c>
      <c r="AR31" s="15">
        <v>4.63278316831683E-2</v>
      </c>
      <c r="AS31" s="15">
        <v>0.1415536853137466</v>
      </c>
      <c r="AU31" s="7" t="s">
        <v>100</v>
      </c>
      <c r="AV31" s="15">
        <v>7.3184203258768302E-2</v>
      </c>
      <c r="AW31" s="15">
        <v>9.936203258768303E-3</v>
      </c>
      <c r="AX31" s="15">
        <v>4.0820012155242294E-2</v>
      </c>
      <c r="AZ31" s="7" t="s">
        <v>67</v>
      </c>
      <c r="BA31" s="15">
        <v>0.1477024070021882</v>
      </c>
      <c r="BB31" s="15">
        <v>2.7916407002188198E-2</v>
      </c>
      <c r="BC31" s="15">
        <v>8.5970968752023133E-2</v>
      </c>
      <c r="BE31" s="7" t="s">
        <v>91</v>
      </c>
      <c r="BF31" s="15">
        <v>0.15011547344110851</v>
      </c>
      <c r="BG31" s="15">
        <v>1.5807473441108499E-2</v>
      </c>
      <c r="BH31" s="15">
        <v>4.635731466165921E-2</v>
      </c>
      <c r="BJ31" s="7" t="s">
        <v>64</v>
      </c>
      <c r="BK31" s="15">
        <v>0.1172413793103448</v>
      </c>
      <c r="BL31" s="15">
        <v>9.8253793103448006E-3</v>
      </c>
      <c r="BM31" s="15">
        <v>3.1730596836249965E-2</v>
      </c>
    </row>
    <row r="32" spans="1:65" x14ac:dyDescent="0.2">
      <c r="A32" s="10" t="s">
        <v>28</v>
      </c>
      <c r="B32" s="12">
        <v>0.41288741026089998</v>
      </c>
      <c r="C32" s="12">
        <v>0.4348011970927747</v>
      </c>
      <c r="D32" s="12">
        <v>0.45964912280701747</v>
      </c>
      <c r="E32" s="12">
        <v>0.51485148514851486</v>
      </c>
      <c r="F32" s="12">
        <v>0.42529687931510629</v>
      </c>
      <c r="G32" s="12">
        <v>0.50656455142231949</v>
      </c>
      <c r="H32" s="12">
        <v>0.39953810623556579</v>
      </c>
      <c r="I32" s="12">
        <v>0.4311389759665622</v>
      </c>
      <c r="J32" s="13">
        <v>0.43096800000000002</v>
      </c>
      <c r="L32" s="7" t="s">
        <v>28</v>
      </c>
      <c r="M32" s="11">
        <f t="shared" si="1"/>
        <v>-1.8080589739100039E-2</v>
      </c>
      <c r="N32" s="11">
        <f t="shared" si="2"/>
        <v>3.8331970927746872E-3</v>
      </c>
      <c r="O32" s="11">
        <f t="shared" si="3"/>
        <v>2.8681122807017456E-2</v>
      </c>
      <c r="P32" s="11">
        <f t="shared" si="4"/>
        <v>8.3883485148514847E-2</v>
      </c>
      <c r="Q32" s="11">
        <f t="shared" si="5"/>
        <v>-5.6711206848937268E-3</v>
      </c>
      <c r="R32" s="11">
        <f t="shared" si="6"/>
        <v>7.5596551422319469E-2</v>
      </c>
      <c r="S32" s="11">
        <f t="shared" si="7"/>
        <v>-3.1429893764434225E-2</v>
      </c>
      <c r="T32" s="11">
        <f t="shared" si="8"/>
        <v>1.7097596656218128E-4</v>
      </c>
      <c r="V32" s="3">
        <v>29</v>
      </c>
      <c r="W32" s="4" t="s">
        <v>28</v>
      </c>
      <c r="X32" s="5">
        <v>0.43096800000000002</v>
      </c>
      <c r="Y32" s="5">
        <v>0.495224</v>
      </c>
      <c r="AA32" s="7" t="s">
        <v>25</v>
      </c>
      <c r="AB32" s="15">
        <v>0.119593766415689</v>
      </c>
      <c r="AC32" s="15">
        <v>6.1177664156890077E-3</v>
      </c>
      <c r="AD32" s="15">
        <v>1.9287873888458384E-2</v>
      </c>
      <c r="AF32" s="7" t="s">
        <v>80</v>
      </c>
      <c r="AG32" s="15">
        <v>4.3180846515604963E-2</v>
      </c>
      <c r="AH32" s="15">
        <v>7.7758465156049644E-3</v>
      </c>
      <c r="AI32" s="15">
        <v>4.2075725439677088E-2</v>
      </c>
      <c r="AK32" s="7" t="s">
        <v>18</v>
      </c>
      <c r="AL32" s="15">
        <v>0.12982456140350879</v>
      </c>
      <c r="AM32" s="15">
        <v>1.6398561403508788E-2</v>
      </c>
      <c r="AN32" s="15">
        <v>5.1710739444908373E-2</v>
      </c>
      <c r="AP32" s="7" t="s">
        <v>23</v>
      </c>
      <c r="AQ32" s="15">
        <v>1.9801980198019799E-2</v>
      </c>
      <c r="AR32" s="15">
        <v>1.1388980198019798E-2</v>
      </c>
      <c r="AS32" s="15">
        <v>0.12469049243490987</v>
      </c>
      <c r="AU32" s="7" t="s">
        <v>40</v>
      </c>
      <c r="AV32" s="15">
        <v>0.13753106876553439</v>
      </c>
      <c r="AW32" s="15">
        <v>1.3339068765534395E-2</v>
      </c>
      <c r="AX32" s="15">
        <v>4.0444829478681284E-2</v>
      </c>
      <c r="AZ32" s="7" t="s">
        <v>109</v>
      </c>
      <c r="BA32" s="15">
        <v>3.9387308533916851E-2</v>
      </c>
      <c r="BB32" s="15">
        <v>1.3096308533916853E-2</v>
      </c>
      <c r="BC32" s="15">
        <v>8.1850393642099534E-2</v>
      </c>
      <c r="BE32" s="7" t="s">
        <v>25</v>
      </c>
      <c r="BF32" s="15">
        <v>0.12779060816012319</v>
      </c>
      <c r="BG32" s="15">
        <v>1.4314608160123199E-2</v>
      </c>
      <c r="BH32" s="15">
        <v>4.5130581685351619E-2</v>
      </c>
      <c r="BJ32" s="7" t="s">
        <v>43</v>
      </c>
      <c r="BK32" s="15">
        <v>3.5109717868338559E-2</v>
      </c>
      <c r="BL32" s="15">
        <v>4.9627178683385592E-3</v>
      </c>
      <c r="BM32" s="15">
        <v>2.9022590533866834E-2</v>
      </c>
    </row>
    <row r="33" spans="1:65" x14ac:dyDescent="0.2">
      <c r="A33" s="10" t="s">
        <v>29</v>
      </c>
      <c r="B33" s="12">
        <v>0.3824198914375766</v>
      </c>
      <c r="C33" s="12">
        <v>0.32321504916631039</v>
      </c>
      <c r="D33" s="12">
        <v>0.32631578947368423</v>
      </c>
      <c r="E33" s="12">
        <v>0.27722772277227731</v>
      </c>
      <c r="F33" s="12">
        <v>0.34852250759458708</v>
      </c>
      <c r="G33" s="12">
        <v>0.2724288840262582</v>
      </c>
      <c r="H33" s="12">
        <v>0.3348729792147806</v>
      </c>
      <c r="I33" s="12">
        <v>0.35506792058516201</v>
      </c>
      <c r="J33" s="13">
        <v>0.34828999999999999</v>
      </c>
      <c r="L33" s="7" t="s">
        <v>29</v>
      </c>
      <c r="M33" s="11">
        <f t="shared" si="1"/>
        <v>3.4129891437576609E-2</v>
      </c>
      <c r="N33" s="11">
        <f t="shared" si="2"/>
        <v>-2.5074950833689602E-2</v>
      </c>
      <c r="O33" s="11">
        <f t="shared" si="3"/>
        <v>-2.1974210526315763E-2</v>
      </c>
      <c r="P33" s="11">
        <f t="shared" si="4"/>
        <v>-7.1062277227722681E-2</v>
      </c>
      <c r="Q33" s="11">
        <f t="shared" si="5"/>
        <v>2.3250759458709469E-4</v>
      </c>
      <c r="R33" s="11">
        <f t="shared" si="6"/>
        <v>-7.5861115973741788E-2</v>
      </c>
      <c r="S33" s="11">
        <f t="shared" si="7"/>
        <v>-1.3417020785219391E-2</v>
      </c>
      <c r="T33" s="11">
        <f t="shared" si="8"/>
        <v>6.7779205851620228E-3</v>
      </c>
      <c r="V33" s="3">
        <v>30</v>
      </c>
      <c r="W33" s="4" t="s">
        <v>29</v>
      </c>
      <c r="X33" s="5">
        <v>0.34828999999999999</v>
      </c>
      <c r="Y33" s="5">
        <v>0.47643999999999997</v>
      </c>
      <c r="AA33" s="7" t="s">
        <v>89</v>
      </c>
      <c r="AB33" s="15">
        <v>7.3542286814918577E-3</v>
      </c>
      <c r="AC33" s="15">
        <v>1.4452286814918575E-3</v>
      </c>
      <c r="AD33" s="15">
        <v>1.885589178159144E-2</v>
      </c>
      <c r="AF33" s="7" t="s">
        <v>83</v>
      </c>
      <c r="AG33" s="15">
        <v>1.3681060282171869E-2</v>
      </c>
      <c r="AH33" s="15">
        <v>3.615060282171869E-3</v>
      </c>
      <c r="AI33" s="15">
        <v>3.6214340060224684E-2</v>
      </c>
      <c r="AK33" s="7" t="s">
        <v>24</v>
      </c>
      <c r="AL33" s="15">
        <v>4.2105263157894743E-2</v>
      </c>
      <c r="AM33" s="15">
        <v>9.0042631578947444E-3</v>
      </c>
      <c r="AN33" s="15">
        <v>5.0329576190260496E-2</v>
      </c>
      <c r="AP33" s="7" t="s">
        <v>41</v>
      </c>
      <c r="AQ33" s="15">
        <v>0.18811881188118809</v>
      </c>
      <c r="AR33" s="15">
        <v>4.1741811881188084E-2</v>
      </c>
      <c r="AS33" s="15">
        <v>0.11808384290831242</v>
      </c>
      <c r="AU33" s="7" t="s">
        <v>15</v>
      </c>
      <c r="AV33" s="15">
        <v>0.40375586854460088</v>
      </c>
      <c r="AW33" s="15">
        <v>1.9109868544600894E-2</v>
      </c>
      <c r="AX33" s="15">
        <v>3.9278367654218278E-2</v>
      </c>
      <c r="AZ33" s="7" t="s">
        <v>80</v>
      </c>
      <c r="BA33" s="15">
        <v>5.0328227571115977E-2</v>
      </c>
      <c r="BB33" s="15">
        <v>1.4923227571115978E-2</v>
      </c>
      <c r="BC33" s="15">
        <v>8.0750774169215167E-2</v>
      </c>
      <c r="BE33" s="7" t="s">
        <v>19</v>
      </c>
      <c r="BF33" s="15">
        <v>0.1370284834488068</v>
      </c>
      <c r="BG33" s="15">
        <v>1.458848344880681E-2</v>
      </c>
      <c r="BH33" s="15">
        <v>4.450408463917685E-2</v>
      </c>
      <c r="BJ33" s="7" t="s">
        <v>65</v>
      </c>
      <c r="BK33" s="15">
        <v>0.1178683385579937</v>
      </c>
      <c r="BL33" s="15">
        <v>8.2483385579937007E-3</v>
      </c>
      <c r="BM33" s="15">
        <v>2.640118863846036E-2</v>
      </c>
    </row>
    <row r="34" spans="1:65" x14ac:dyDescent="0.2">
      <c r="A34" s="10" t="s">
        <v>30</v>
      </c>
      <c r="B34" s="12">
        <v>0.1262475923656102</v>
      </c>
      <c r="C34" s="12">
        <v>0.14664386489952971</v>
      </c>
      <c r="D34" s="12">
        <v>0.10526315789473679</v>
      </c>
      <c r="E34" s="12">
        <v>0.1089108910891089</v>
      </c>
      <c r="F34" s="12">
        <v>0.1397404032035349</v>
      </c>
      <c r="G34" s="12">
        <v>9.5733041575492339E-2</v>
      </c>
      <c r="H34" s="12">
        <v>0.1493456505003849</v>
      </c>
      <c r="I34" s="12">
        <v>0.1322884012539185</v>
      </c>
      <c r="J34" s="13">
        <v>0.130853</v>
      </c>
      <c r="L34" s="7" t="s">
        <v>30</v>
      </c>
      <c r="M34" s="11">
        <f t="shared" si="1"/>
        <v>-4.6054076343897965E-3</v>
      </c>
      <c r="N34" s="11">
        <f t="shared" si="2"/>
        <v>1.5790864899529716E-2</v>
      </c>
      <c r="O34" s="11">
        <f t="shared" si="3"/>
        <v>-2.5589842105263202E-2</v>
      </c>
      <c r="P34" s="11">
        <f t="shared" si="4"/>
        <v>-2.19421089108911E-2</v>
      </c>
      <c r="Q34" s="11">
        <f t="shared" si="5"/>
        <v>8.8874032035348993E-3</v>
      </c>
      <c r="R34" s="11">
        <f t="shared" si="6"/>
        <v>-3.5119958424507658E-2</v>
      </c>
      <c r="S34" s="11">
        <f t="shared" si="7"/>
        <v>1.84926505003849E-2</v>
      </c>
      <c r="T34" s="11">
        <f t="shared" si="8"/>
        <v>1.4354012539185002E-3</v>
      </c>
      <c r="V34" s="3">
        <v>31</v>
      </c>
      <c r="W34" s="4" t="s">
        <v>30</v>
      </c>
      <c r="X34" s="5">
        <v>0.130853</v>
      </c>
      <c r="Y34" s="5">
        <v>0.33724799999999999</v>
      </c>
      <c r="AA34" s="7" t="s">
        <v>97</v>
      </c>
      <c r="AB34" s="15">
        <v>0.1075118192960953</v>
      </c>
      <c r="AC34" s="15">
        <v>4.4518192960952968E-3</v>
      </c>
      <c r="AD34" s="15">
        <v>1.464197502374746E-2</v>
      </c>
      <c r="AF34" s="7" t="s">
        <v>11</v>
      </c>
      <c r="AG34" s="15">
        <v>0.1222744762719111</v>
      </c>
      <c r="AH34" s="15">
        <v>1.1202476271911094E-2</v>
      </c>
      <c r="AI34" s="15">
        <v>3.5650676009887992E-2</v>
      </c>
      <c r="AK34" s="7" t="s">
        <v>76</v>
      </c>
      <c r="AL34" s="15">
        <v>7.0175438596491224E-2</v>
      </c>
      <c r="AM34" s="15">
        <v>1.0232438596491221E-2</v>
      </c>
      <c r="AN34" s="15">
        <v>4.3104460633864625E-2</v>
      </c>
      <c r="AP34" s="7" t="s">
        <v>6</v>
      </c>
      <c r="AQ34" s="15">
        <v>0.20792079207920791</v>
      </c>
      <c r="AR34" s="15">
        <v>4.1011792079207909E-2</v>
      </c>
      <c r="AS34" s="15">
        <v>0.10997949091242762</v>
      </c>
      <c r="AU34" s="7" t="s">
        <v>42</v>
      </c>
      <c r="AV34" s="15">
        <v>9.6934548467274229E-2</v>
      </c>
      <c r="AW34" s="15">
        <v>1.0851548467274222E-2</v>
      </c>
      <c r="AX34" s="15">
        <v>3.8687274833950888E-2</v>
      </c>
      <c r="AZ34" s="7" t="s">
        <v>18</v>
      </c>
      <c r="BA34" s="15">
        <v>0.137855579868709</v>
      </c>
      <c r="BB34" s="15">
        <v>2.4429579868709E-2</v>
      </c>
      <c r="BC34" s="15">
        <v>7.7035515997707499E-2</v>
      </c>
      <c r="BE34" s="7" t="s">
        <v>23</v>
      </c>
      <c r="BF34" s="15">
        <v>1.231716705157814E-2</v>
      </c>
      <c r="BG34" s="15">
        <v>3.9041670515781394E-3</v>
      </c>
      <c r="BH34" s="15">
        <v>4.2744170570607407E-2</v>
      </c>
      <c r="BJ34" s="7" t="s">
        <v>3</v>
      </c>
      <c r="BK34" s="15">
        <v>0.17366771159874611</v>
      </c>
      <c r="BL34" s="15">
        <v>9.362711598746104E-3</v>
      </c>
      <c r="BM34" s="15">
        <v>2.5266316743386662E-2</v>
      </c>
    </row>
    <row r="35" spans="1:65" x14ac:dyDescent="0.2">
      <c r="A35" s="10" t="s">
        <v>31</v>
      </c>
      <c r="B35" s="12">
        <v>0.1703729644545614</v>
      </c>
      <c r="C35" s="12">
        <v>9.7905087644292427E-2</v>
      </c>
      <c r="D35" s="12">
        <v>0.12982456140350879</v>
      </c>
      <c r="E35" s="12">
        <v>0.1089108910891089</v>
      </c>
      <c r="F35" s="12">
        <v>0.1112952223142778</v>
      </c>
      <c r="G35" s="12">
        <v>9.5733041575492339E-2</v>
      </c>
      <c r="H35" s="12">
        <v>8.0831408775981523E-2</v>
      </c>
      <c r="I35" s="12">
        <v>9.8223615464994779E-2</v>
      </c>
      <c r="J35" s="13">
        <v>0.120337</v>
      </c>
      <c r="L35" s="7" t="s">
        <v>31</v>
      </c>
      <c r="M35" s="11">
        <f t="shared" si="1"/>
        <v>5.0035964454561405E-2</v>
      </c>
      <c r="N35" s="11">
        <f t="shared" si="2"/>
        <v>-2.2431912355707573E-2</v>
      </c>
      <c r="O35" s="11">
        <f t="shared" si="3"/>
        <v>9.4875614035087874E-3</v>
      </c>
      <c r="P35" s="11">
        <f t="shared" si="4"/>
        <v>-1.1426108910891103E-2</v>
      </c>
      <c r="Q35" s="11">
        <f t="shared" si="5"/>
        <v>-9.0417776857222021E-3</v>
      </c>
      <c r="R35" s="11">
        <f t="shared" si="6"/>
        <v>-2.460395842450766E-2</v>
      </c>
      <c r="S35" s="11">
        <f t="shared" si="7"/>
        <v>-3.9505591224018477E-2</v>
      </c>
      <c r="T35" s="11">
        <f t="shared" si="8"/>
        <v>-2.211338453500522E-2</v>
      </c>
      <c r="V35" s="3">
        <v>32</v>
      </c>
      <c r="W35" s="4" t="s">
        <v>31</v>
      </c>
      <c r="X35" s="5">
        <v>0.120337</v>
      </c>
      <c r="Y35" s="5">
        <v>0.32536300000000001</v>
      </c>
      <c r="AA35" s="7" t="s">
        <v>15</v>
      </c>
      <c r="AB35" s="15">
        <v>0.38994922080196109</v>
      </c>
      <c r="AC35" s="15">
        <v>5.303220801961106E-3</v>
      </c>
      <c r="AD35" s="15">
        <v>1.0900224453389978E-2</v>
      </c>
      <c r="AF35" s="7" t="s">
        <v>86</v>
      </c>
      <c r="AG35" s="15">
        <v>0.12441214194100041</v>
      </c>
      <c r="AH35" s="15">
        <v>1.0786141941000402E-2</v>
      </c>
      <c r="AI35" s="15">
        <v>3.3986551576262035E-2</v>
      </c>
      <c r="AK35" s="7" t="s">
        <v>21</v>
      </c>
      <c r="AL35" s="15">
        <v>6.6666666666666666E-2</v>
      </c>
      <c r="AM35" s="15">
        <v>9.8786666666666675E-3</v>
      </c>
      <c r="AN35" s="15">
        <v>4.2682935611216014E-2</v>
      </c>
      <c r="AP35" s="7" t="s">
        <v>47</v>
      </c>
      <c r="AQ35" s="15">
        <v>9.9009900990099015E-2</v>
      </c>
      <c r="AR35" s="15">
        <v>2.6697900990099013E-2</v>
      </c>
      <c r="AS35" s="15">
        <v>0.10307671900737042</v>
      </c>
      <c r="AU35" s="7" t="s">
        <v>47</v>
      </c>
      <c r="AV35" s="15">
        <v>8.1745374206020432E-2</v>
      </c>
      <c r="AW35" s="15">
        <v>9.4333742060204312E-3</v>
      </c>
      <c r="AX35" s="15">
        <v>3.6420888019846456E-2</v>
      </c>
      <c r="AZ35" s="7" t="s">
        <v>73</v>
      </c>
      <c r="BA35" s="15">
        <v>0.224835886214442</v>
      </c>
      <c r="BB35" s="15">
        <v>2.8380886214442014E-2</v>
      </c>
      <c r="BC35" s="15">
        <v>7.142972323593727E-2</v>
      </c>
      <c r="BE35" s="7" t="s">
        <v>38</v>
      </c>
      <c r="BF35" s="15">
        <v>0.1139337952270978</v>
      </c>
      <c r="BG35" s="15">
        <v>1.14247952270978E-2</v>
      </c>
      <c r="BH35" s="15">
        <v>3.7665319022226404E-2</v>
      </c>
      <c r="BJ35" s="7" t="s">
        <v>16</v>
      </c>
      <c r="BK35" s="15">
        <v>0.11995820271682341</v>
      </c>
      <c r="BL35" s="15">
        <v>7.6842027168234073E-3</v>
      </c>
      <c r="BM35" s="15">
        <v>2.4339356933472091E-2</v>
      </c>
    </row>
    <row r="36" spans="1:65" x14ac:dyDescent="0.2">
      <c r="A36" s="10" t="s">
        <v>32</v>
      </c>
      <c r="B36" s="12">
        <v>0.1173174575380844</v>
      </c>
      <c r="C36" s="12">
        <v>0.10260795211628899</v>
      </c>
      <c r="D36" s="12">
        <v>0.14035087719298239</v>
      </c>
      <c r="E36" s="12">
        <v>0.1089108910891089</v>
      </c>
      <c r="F36" s="12">
        <v>0.13200773267053301</v>
      </c>
      <c r="G36" s="12">
        <v>0.1170678336980306</v>
      </c>
      <c r="H36" s="12">
        <v>0.10469591993841421</v>
      </c>
      <c r="I36" s="12">
        <v>0.12079414838035531</v>
      </c>
      <c r="J36" s="13">
        <v>0.118534</v>
      </c>
      <c r="L36" s="7" t="s">
        <v>32</v>
      </c>
      <c r="M36" s="11">
        <f t="shared" si="1"/>
        <v>-1.216542461915604E-3</v>
      </c>
      <c r="N36" s="11">
        <f t="shared" si="2"/>
        <v>-1.5926047883711006E-2</v>
      </c>
      <c r="O36" s="11">
        <f t="shared" si="3"/>
        <v>2.1816877192982392E-2</v>
      </c>
      <c r="P36" s="11">
        <f t="shared" si="4"/>
        <v>-9.6231089108911039E-3</v>
      </c>
      <c r="Q36" s="11">
        <f t="shared" si="5"/>
        <v>1.3473732670533006E-2</v>
      </c>
      <c r="R36" s="11">
        <f t="shared" si="6"/>
        <v>-1.4661663019693988E-3</v>
      </c>
      <c r="S36" s="11">
        <f t="shared" si="7"/>
        <v>-1.3838080061585795E-2</v>
      </c>
      <c r="T36" s="11">
        <f t="shared" si="8"/>
        <v>2.2601483803553063E-3</v>
      </c>
      <c r="V36" s="3">
        <v>33</v>
      </c>
      <c r="W36" s="4" t="s">
        <v>32</v>
      </c>
      <c r="X36" s="5">
        <v>0.118534</v>
      </c>
      <c r="Y36" s="5">
        <v>0.32324700000000001</v>
      </c>
      <c r="AA36" s="7" t="s">
        <v>101</v>
      </c>
      <c r="AB36" s="15">
        <v>7.7044300472771847E-3</v>
      </c>
      <c r="AC36" s="15">
        <v>8.4343004727718482E-4</v>
      </c>
      <c r="AD36" s="15">
        <v>1.0217697372097798E-2</v>
      </c>
      <c r="AF36" s="7" t="s">
        <v>109</v>
      </c>
      <c r="AG36" s="15">
        <v>3.1209918768704579E-2</v>
      </c>
      <c r="AH36" s="15">
        <v>4.9189187687045804E-3</v>
      </c>
      <c r="AI36" s="15">
        <v>3.0742665879418388E-2</v>
      </c>
      <c r="AK36" s="7" t="s">
        <v>64</v>
      </c>
      <c r="AL36" s="15">
        <v>0.1192982456140351</v>
      </c>
      <c r="AM36" s="15">
        <v>1.18822456140351E-2</v>
      </c>
      <c r="AN36" s="15">
        <v>3.8373149084563539E-2</v>
      </c>
      <c r="AP36" s="7" t="s">
        <v>38</v>
      </c>
      <c r="AQ36" s="15">
        <v>0.12871287128712869</v>
      </c>
      <c r="AR36" s="15">
        <v>2.6203871287128686E-2</v>
      </c>
      <c r="AS36" s="15">
        <v>8.6389046983188555E-2</v>
      </c>
      <c r="AU36" s="7" t="s">
        <v>63</v>
      </c>
      <c r="AV36" s="15">
        <v>0.1231703949185308</v>
      </c>
      <c r="AW36" s="15">
        <v>1.0646394918530797E-2</v>
      </c>
      <c r="AX36" s="15">
        <v>3.3689204154607633E-2</v>
      </c>
      <c r="AZ36" s="7" t="s">
        <v>26</v>
      </c>
      <c r="BA36" s="15">
        <v>0.1061269146608315</v>
      </c>
      <c r="BB36" s="15">
        <v>1.6888914660831505E-2</v>
      </c>
      <c r="BC36" s="15">
        <v>5.9239603152743847E-2</v>
      </c>
      <c r="BE36" s="7" t="s">
        <v>21</v>
      </c>
      <c r="BF36" s="15">
        <v>6.5434949961508851E-2</v>
      </c>
      <c r="BG36" s="15">
        <v>8.6469499615088527E-3</v>
      </c>
      <c r="BH36" s="15">
        <v>3.7361034732132113E-2</v>
      </c>
      <c r="BJ36" s="7" t="s">
        <v>59</v>
      </c>
      <c r="BK36" s="15">
        <v>0.31306165099268551</v>
      </c>
      <c r="BL36" s="15">
        <v>1.0442650992685487E-2</v>
      </c>
      <c r="BM36" s="15">
        <v>2.273091597722585E-2</v>
      </c>
    </row>
    <row r="37" spans="1:65" x14ac:dyDescent="0.2">
      <c r="A37" s="10" t="s">
        <v>33</v>
      </c>
      <c r="B37" s="12">
        <v>9.2628261250218877E-2</v>
      </c>
      <c r="C37" s="12">
        <v>0.12441214194100041</v>
      </c>
      <c r="D37" s="12">
        <v>0.1228070175438596</v>
      </c>
      <c r="E37" s="12">
        <v>0.1683168316831683</v>
      </c>
      <c r="F37" s="12">
        <v>0.13062689864678259</v>
      </c>
      <c r="G37" s="12">
        <v>0.12472647702407</v>
      </c>
      <c r="H37" s="12">
        <v>0.11316397228637411</v>
      </c>
      <c r="I37" s="12">
        <v>0.14963427377220481</v>
      </c>
      <c r="J37" s="13">
        <v>0.121989</v>
      </c>
      <c r="L37" s="7" t="s">
        <v>33</v>
      </c>
      <c r="M37" s="11">
        <f t="shared" si="1"/>
        <v>-2.9360738749781123E-2</v>
      </c>
      <c r="N37" s="11">
        <f t="shared" si="2"/>
        <v>2.4231419410004063E-3</v>
      </c>
      <c r="O37" s="11">
        <f t="shared" si="3"/>
        <v>8.1801754385960046E-4</v>
      </c>
      <c r="P37" s="11">
        <f t="shared" si="4"/>
        <v>4.63278316831683E-2</v>
      </c>
      <c r="Q37" s="11">
        <f t="shared" si="5"/>
        <v>8.6378986467825908E-3</v>
      </c>
      <c r="R37" s="11">
        <f t="shared" si="6"/>
        <v>2.737477024069998E-3</v>
      </c>
      <c r="S37" s="11">
        <f t="shared" si="7"/>
        <v>-8.8250277136258937E-3</v>
      </c>
      <c r="T37" s="11">
        <f t="shared" si="8"/>
        <v>2.7645273772204812E-2</v>
      </c>
      <c r="V37" s="3">
        <v>34</v>
      </c>
      <c r="W37" s="4" t="s">
        <v>33</v>
      </c>
      <c r="X37" s="5">
        <v>0.121989</v>
      </c>
      <c r="Y37" s="5">
        <v>0.32728099999999999</v>
      </c>
      <c r="AA37" s="7" t="s">
        <v>5</v>
      </c>
      <c r="AB37" s="15">
        <v>0.1810541061110138</v>
      </c>
      <c r="AC37" s="15">
        <v>3.8791061110138025E-3</v>
      </c>
      <c r="AD37" s="15">
        <v>1.0159355599183404E-2</v>
      </c>
      <c r="AF37" s="7" t="s">
        <v>77</v>
      </c>
      <c r="AG37" s="15">
        <v>0.11415134672937149</v>
      </c>
      <c r="AH37" s="15">
        <v>8.3373467293714892E-3</v>
      </c>
      <c r="AI37" s="15">
        <v>2.710389142435474E-2</v>
      </c>
      <c r="AK37" s="7" t="s">
        <v>104</v>
      </c>
      <c r="AL37" s="15">
        <v>3.0771929824561329E-2</v>
      </c>
      <c r="AM37" s="15">
        <v>1.0269298245613283E-3</v>
      </c>
      <c r="AN37" s="15">
        <v>3.5968261166380452E-2</v>
      </c>
      <c r="AP37" s="7" t="s">
        <v>18</v>
      </c>
      <c r="AQ37" s="15">
        <v>0.1386138613861386</v>
      </c>
      <c r="AR37" s="15">
        <v>2.5187861386138599E-2</v>
      </c>
      <c r="AS37" s="15">
        <v>7.9426658550328114E-2</v>
      </c>
      <c r="AU37" s="7" t="s">
        <v>93</v>
      </c>
      <c r="AV37" s="15">
        <v>87.795470864401935</v>
      </c>
      <c r="AW37" s="15">
        <v>0.39427386440193857</v>
      </c>
      <c r="AX37" s="15">
        <v>3.2207054392599764E-2</v>
      </c>
      <c r="AZ37" s="7" t="s">
        <v>0</v>
      </c>
      <c r="BA37" s="15">
        <v>9.2997811816192561E-3</v>
      </c>
      <c r="BB37" s="15">
        <v>4.0417811816192565E-3</v>
      </c>
      <c r="BC37" s="15">
        <v>5.5884370079354796E-2</v>
      </c>
      <c r="BE37" s="7" t="s">
        <v>39</v>
      </c>
      <c r="BF37" s="15">
        <v>9.237875288683603E-2</v>
      </c>
      <c r="BG37" s="15">
        <v>9.1497528868360323E-3</v>
      </c>
      <c r="BH37" s="15">
        <v>3.3123075956471959E-2</v>
      </c>
      <c r="BJ37" s="7" t="s">
        <v>22</v>
      </c>
      <c r="BK37" s="15">
        <v>0.1235109717868339</v>
      </c>
      <c r="BL37" s="15">
        <v>6.4299717868338963E-3</v>
      </c>
      <c r="BM37" s="15">
        <v>1.9998357163000999E-2</v>
      </c>
    </row>
    <row r="38" spans="1:65" x14ac:dyDescent="0.2">
      <c r="A38" s="10" t="s">
        <v>34</v>
      </c>
      <c r="B38" s="12">
        <v>0.10821222202766589</v>
      </c>
      <c r="C38" s="12">
        <v>0.11415134672937149</v>
      </c>
      <c r="D38" s="12">
        <v>0.1368421052631579</v>
      </c>
      <c r="E38" s="12">
        <v>0.11881188118811881</v>
      </c>
      <c r="F38" s="12">
        <v>0.10908588787627729</v>
      </c>
      <c r="G38" s="12">
        <v>0.12910284463894969</v>
      </c>
      <c r="H38" s="12">
        <v>0.13779830638953039</v>
      </c>
      <c r="I38" s="12">
        <v>0.1301985370950888</v>
      </c>
      <c r="J38" s="13">
        <v>0.118634</v>
      </c>
      <c r="L38" s="7" t="s">
        <v>34</v>
      </c>
      <c r="M38" s="11">
        <f t="shared" si="1"/>
        <v>-1.0421777972334109E-2</v>
      </c>
      <c r="N38" s="11">
        <f t="shared" si="2"/>
        <v>-4.4826532706285088E-3</v>
      </c>
      <c r="O38" s="11">
        <f t="shared" si="3"/>
        <v>1.82081052631579E-2</v>
      </c>
      <c r="P38" s="11">
        <f t="shared" si="4"/>
        <v>1.7788118811880305E-4</v>
      </c>
      <c r="Q38" s="11">
        <f t="shared" si="5"/>
        <v>-9.5481121237227101E-3</v>
      </c>
      <c r="R38" s="11">
        <f t="shared" si="6"/>
        <v>1.046884463894969E-2</v>
      </c>
      <c r="S38" s="11">
        <f t="shared" si="7"/>
        <v>1.9164306389530386E-2</v>
      </c>
      <c r="T38" s="11">
        <f t="shared" si="8"/>
        <v>1.1564537095088798E-2</v>
      </c>
      <c r="V38" s="3">
        <v>35</v>
      </c>
      <c r="W38" s="4" t="s">
        <v>34</v>
      </c>
      <c r="X38" s="5">
        <v>0.118634</v>
      </c>
      <c r="Y38" s="5">
        <v>0.32336500000000001</v>
      </c>
      <c r="AA38" s="7" t="s">
        <v>7</v>
      </c>
      <c r="AB38" s="15">
        <v>9.1052355104184902E-3</v>
      </c>
      <c r="AC38" s="15">
        <v>6.9223551041848984E-4</v>
      </c>
      <c r="AD38" s="15">
        <v>7.5788336773138214E-3</v>
      </c>
      <c r="AF38" s="7" t="s">
        <v>82</v>
      </c>
      <c r="AG38" s="15">
        <v>4.70286447199658E-3</v>
      </c>
      <c r="AH38" s="15">
        <v>1.4978644719965801E-3</v>
      </c>
      <c r="AI38" s="15">
        <v>2.6500087964131065E-2</v>
      </c>
      <c r="AK38" s="7" t="s">
        <v>44</v>
      </c>
      <c r="AL38" s="15">
        <v>0.27017543859649118</v>
      </c>
      <c r="AM38" s="15">
        <v>1.4529438596491195E-2</v>
      </c>
      <c r="AN38" s="15">
        <v>3.3306448580446769E-2</v>
      </c>
      <c r="AP38" s="7" t="s">
        <v>0</v>
      </c>
      <c r="AQ38" s="15">
        <v>9.9009900990099011E-3</v>
      </c>
      <c r="AR38" s="15">
        <v>4.6429900990099015E-3</v>
      </c>
      <c r="AS38" s="15">
        <v>6.4197086707177442E-2</v>
      </c>
      <c r="AU38" s="7" t="s">
        <v>8</v>
      </c>
      <c r="AV38" s="15">
        <v>1.546534106600387E-2</v>
      </c>
      <c r="AW38" s="15">
        <v>2.9463410660038689E-3</v>
      </c>
      <c r="AX38" s="15">
        <v>2.6498255832393822E-2</v>
      </c>
      <c r="AZ38" s="7" t="s">
        <v>7</v>
      </c>
      <c r="BA38" s="15">
        <v>1.2582056892778991E-2</v>
      </c>
      <c r="BB38" s="15">
        <v>4.1690568927789905E-3</v>
      </c>
      <c r="BC38" s="15">
        <v>4.5644276125807334E-2</v>
      </c>
      <c r="BE38" s="7" t="s">
        <v>40</v>
      </c>
      <c r="BF38" s="15">
        <v>0.13471901462663591</v>
      </c>
      <c r="BG38" s="15">
        <v>1.0527014626635911E-2</v>
      </c>
      <c r="BH38" s="15">
        <v>3.1918518374683257E-2</v>
      </c>
      <c r="BJ38" s="7" t="s">
        <v>29</v>
      </c>
      <c r="BK38" s="15">
        <v>0.35506792058516201</v>
      </c>
      <c r="BL38" s="15">
        <v>6.7779205851620228E-3</v>
      </c>
      <c r="BM38" s="15">
        <v>1.4226178711195582E-2</v>
      </c>
    </row>
    <row r="39" spans="1:65" x14ac:dyDescent="0.2">
      <c r="A39" s="10" t="s">
        <v>35</v>
      </c>
      <c r="B39" s="12">
        <v>0.12484678690246891</v>
      </c>
      <c r="C39" s="12">
        <v>0.1137238135955537</v>
      </c>
      <c r="D39" s="12">
        <v>9.1228070175438603E-2</v>
      </c>
      <c r="E39" s="12">
        <v>0.11881188118811881</v>
      </c>
      <c r="F39" s="12">
        <v>0.1126760563380282</v>
      </c>
      <c r="G39" s="12">
        <v>0.12910284463894969</v>
      </c>
      <c r="H39" s="12">
        <v>9.9307159353348731E-2</v>
      </c>
      <c r="I39" s="12">
        <v>0.1055381400208986</v>
      </c>
      <c r="J39" s="13">
        <v>0.114928</v>
      </c>
      <c r="L39" s="7" t="s">
        <v>35</v>
      </c>
      <c r="M39" s="11">
        <f t="shared" si="1"/>
        <v>9.918786902468904E-3</v>
      </c>
      <c r="N39" s="11">
        <f t="shared" si="2"/>
        <v>-1.2041864044463058E-3</v>
      </c>
      <c r="O39" s="11">
        <f t="shared" si="3"/>
        <v>-2.36999298245614E-2</v>
      </c>
      <c r="P39" s="11">
        <f t="shared" si="4"/>
        <v>3.883881188118804E-3</v>
      </c>
      <c r="Q39" s="11">
        <f t="shared" si="5"/>
        <v>-2.2519436619718031E-3</v>
      </c>
      <c r="R39" s="11">
        <f t="shared" si="6"/>
        <v>1.4174844638949691E-2</v>
      </c>
      <c r="S39" s="11">
        <f t="shared" si="7"/>
        <v>-1.5620840646651271E-2</v>
      </c>
      <c r="T39" s="11">
        <f t="shared" si="8"/>
        <v>-9.3898599791013976E-3</v>
      </c>
      <c r="V39" s="3">
        <v>36</v>
      </c>
      <c r="W39" s="4" t="s">
        <v>35</v>
      </c>
      <c r="X39" s="5">
        <v>0.114928</v>
      </c>
      <c r="Y39" s="5">
        <v>0.31894299999999998</v>
      </c>
      <c r="AA39" s="7" t="s">
        <v>23</v>
      </c>
      <c r="AB39" s="15">
        <v>9.1052355104184902E-3</v>
      </c>
      <c r="AC39" s="15">
        <v>6.9223551041848984E-4</v>
      </c>
      <c r="AD39" s="15">
        <v>7.5788336773138214E-3</v>
      </c>
      <c r="AF39" s="7" t="s">
        <v>70</v>
      </c>
      <c r="AG39" s="15">
        <v>2.5651988029072249E-2</v>
      </c>
      <c r="AH39" s="15">
        <v>3.71798802907225E-3</v>
      </c>
      <c r="AI39" s="15">
        <v>2.5383609352451323E-2</v>
      </c>
      <c r="AK39" s="7" t="s">
        <v>84</v>
      </c>
      <c r="AL39" s="15">
        <v>4.5614035087719301E-2</v>
      </c>
      <c r="AM39" s="15">
        <v>6.2030350877192997E-3</v>
      </c>
      <c r="AN39" s="15">
        <v>3.1879754377309125E-2</v>
      </c>
      <c r="AP39" s="7" t="s">
        <v>5</v>
      </c>
      <c r="AQ39" s="15">
        <v>0.198019801980198</v>
      </c>
      <c r="AR39" s="15">
        <v>2.0844801980198002E-2</v>
      </c>
      <c r="AS39" s="15">
        <v>5.4592411151147387E-2</v>
      </c>
      <c r="AU39" s="7" t="s">
        <v>33</v>
      </c>
      <c r="AV39" s="15">
        <v>0.13062689864678259</v>
      </c>
      <c r="AW39" s="15">
        <v>8.6378986467825908E-3</v>
      </c>
      <c r="AX39" s="15">
        <v>2.6392912044336796E-2</v>
      </c>
      <c r="AZ39" s="7" t="s">
        <v>13</v>
      </c>
      <c r="BA39" s="15">
        <v>1.418490153172866</v>
      </c>
      <c r="BB39" s="15">
        <v>3.1090153172866009E-2</v>
      </c>
      <c r="BC39" s="15">
        <v>4.5296293958046144E-2</v>
      </c>
      <c r="BE39" s="7" t="s">
        <v>5</v>
      </c>
      <c r="BF39" s="15">
        <v>0.18860662047729021</v>
      </c>
      <c r="BG39" s="15">
        <v>1.1431620477290211E-2</v>
      </c>
      <c r="BH39" s="15">
        <v>2.9939345349164832E-2</v>
      </c>
      <c r="BJ39" s="7" t="s">
        <v>96</v>
      </c>
      <c r="BK39" s="15">
        <v>0.26792058516196449</v>
      </c>
      <c r="BL39" s="15">
        <v>5.6645851619644971E-3</v>
      </c>
      <c r="BM39" s="15">
        <v>1.2877803456379349E-2</v>
      </c>
    </row>
    <row r="40" spans="1:65" x14ac:dyDescent="0.2">
      <c r="A40" s="10" t="s">
        <v>36</v>
      </c>
      <c r="B40" s="12">
        <v>0.1062861145158466</v>
      </c>
      <c r="C40" s="12">
        <v>0.1162890123984609</v>
      </c>
      <c r="D40" s="12">
        <v>9.1228070175438603E-2</v>
      </c>
      <c r="E40" s="12">
        <v>8.9108910891089105E-2</v>
      </c>
      <c r="F40" s="12">
        <v>0.11543772438552891</v>
      </c>
      <c r="G40" s="12">
        <v>0.1110503282275711</v>
      </c>
      <c r="H40" s="12">
        <v>0.1331793687451886</v>
      </c>
      <c r="I40" s="12">
        <v>0.109717868338558</v>
      </c>
      <c r="J40" s="13">
        <v>0.11182300000000001</v>
      </c>
      <c r="L40" s="7" t="s">
        <v>36</v>
      </c>
      <c r="M40" s="11">
        <f t="shared" si="1"/>
        <v>-5.5368854841534032E-3</v>
      </c>
      <c r="N40" s="11">
        <f t="shared" si="2"/>
        <v>4.4660123984608946E-3</v>
      </c>
      <c r="O40" s="11">
        <f t="shared" si="3"/>
        <v>-2.0594929824561403E-2</v>
      </c>
      <c r="P40" s="11">
        <f t="shared" si="4"/>
        <v>-2.2714089108910901E-2</v>
      </c>
      <c r="Q40" s="11">
        <f t="shared" si="5"/>
        <v>3.6147243855289002E-3</v>
      </c>
      <c r="R40" s="11">
        <f t="shared" si="6"/>
        <v>-7.7267177242890117E-4</v>
      </c>
      <c r="S40" s="11">
        <f t="shared" si="7"/>
        <v>2.1356368745188592E-2</v>
      </c>
      <c r="T40" s="11">
        <f t="shared" si="8"/>
        <v>-2.1051316614420085E-3</v>
      </c>
      <c r="V40" s="3">
        <v>37</v>
      </c>
      <c r="W40" s="4" t="s">
        <v>36</v>
      </c>
      <c r="X40" s="5">
        <v>0.11182300000000001</v>
      </c>
      <c r="Y40" s="5">
        <v>0.31515700000000002</v>
      </c>
      <c r="AA40" s="7" t="s">
        <v>76</v>
      </c>
      <c r="AB40" s="15">
        <v>6.1635440378217478E-2</v>
      </c>
      <c r="AC40" s="15">
        <v>1.6924403782174746E-3</v>
      </c>
      <c r="AD40" s="15">
        <v>7.1294568709216371E-3</v>
      </c>
      <c r="AF40" s="7" t="s">
        <v>7</v>
      </c>
      <c r="AG40" s="15">
        <v>1.0688328345446771E-2</v>
      </c>
      <c r="AH40" s="15">
        <v>2.2753283454467702E-3</v>
      </c>
      <c r="AI40" s="15">
        <v>2.4911081318254945E-2</v>
      </c>
      <c r="AK40" s="7" t="s">
        <v>45</v>
      </c>
      <c r="AL40" s="15">
        <v>0.1368421052631579</v>
      </c>
      <c r="AM40" s="15">
        <v>1.0096105263157906E-2</v>
      </c>
      <c r="AN40" s="15">
        <v>3.0346246774566363E-2</v>
      </c>
      <c r="AP40" s="7" t="s">
        <v>16</v>
      </c>
      <c r="AQ40" s="15">
        <v>0.12871287128712869</v>
      </c>
      <c r="AR40" s="15">
        <v>1.643887128712869E-2</v>
      </c>
      <c r="AS40" s="15">
        <v>5.2069364979771653E-2</v>
      </c>
      <c r="AU40" s="7" t="s">
        <v>30</v>
      </c>
      <c r="AV40" s="15">
        <v>0.1397404032035349</v>
      </c>
      <c r="AW40" s="15">
        <v>8.8874032035348993E-3</v>
      </c>
      <c r="AX40" s="15">
        <v>2.6352723229003283E-2</v>
      </c>
      <c r="AZ40" s="7" t="s">
        <v>35</v>
      </c>
      <c r="BA40" s="15">
        <v>0.12910284463894969</v>
      </c>
      <c r="BB40" s="15">
        <v>1.4174844638949691E-2</v>
      </c>
      <c r="BC40" s="15">
        <v>4.4443190911697988E-2</v>
      </c>
      <c r="BE40" s="7" t="s">
        <v>76</v>
      </c>
      <c r="BF40" s="15">
        <v>6.6974595842956119E-2</v>
      </c>
      <c r="BG40" s="15">
        <v>7.0315958429561162E-3</v>
      </c>
      <c r="BH40" s="15">
        <v>2.9620812609604218E-2</v>
      </c>
      <c r="BJ40" s="7" t="s">
        <v>37</v>
      </c>
      <c r="BK40" s="15">
        <v>0.11180773249738769</v>
      </c>
      <c r="BL40" s="15">
        <v>3.7907324973876916E-3</v>
      </c>
      <c r="BM40" s="15">
        <v>1.2212017967809321E-2</v>
      </c>
    </row>
    <row r="41" spans="1:65" x14ac:dyDescent="0.2">
      <c r="A41" s="10" t="s">
        <v>37</v>
      </c>
      <c r="B41" s="12">
        <v>0.10453510768692</v>
      </c>
      <c r="C41" s="12">
        <v>0.10560068405301409</v>
      </c>
      <c r="D41" s="12">
        <v>8.4210526315789472E-2</v>
      </c>
      <c r="E41" s="12">
        <v>9.9009900990099015E-2</v>
      </c>
      <c r="F41" s="12">
        <v>0.10991438829052751</v>
      </c>
      <c r="G41" s="12">
        <v>0.100656455142232</v>
      </c>
      <c r="H41" s="12">
        <v>0.1247113163972286</v>
      </c>
      <c r="I41" s="12">
        <v>0.11180773249738769</v>
      </c>
      <c r="J41" s="13">
        <v>0.108017</v>
      </c>
      <c r="L41" s="7" t="s">
        <v>37</v>
      </c>
      <c r="M41" s="11">
        <f t="shared" si="1"/>
        <v>-3.4818923130800067E-3</v>
      </c>
      <c r="N41" s="11">
        <f t="shared" si="2"/>
        <v>-2.4163159469859086E-3</v>
      </c>
      <c r="O41" s="11">
        <f t="shared" si="3"/>
        <v>-2.380647368421053E-2</v>
      </c>
      <c r="P41" s="11">
        <f t="shared" si="4"/>
        <v>-9.0070990099009873E-3</v>
      </c>
      <c r="Q41" s="11">
        <f t="shared" si="5"/>
        <v>1.8973882905275047E-3</v>
      </c>
      <c r="R41" s="11">
        <f t="shared" si="6"/>
        <v>-7.360544857768006E-3</v>
      </c>
      <c r="S41" s="11">
        <f t="shared" si="7"/>
        <v>1.6694316397228598E-2</v>
      </c>
      <c r="T41" s="11">
        <f t="shared" si="8"/>
        <v>3.7907324973876916E-3</v>
      </c>
      <c r="V41" s="3">
        <v>38</v>
      </c>
      <c r="W41" s="4" t="s">
        <v>37</v>
      </c>
      <c r="X41" s="5">
        <v>0.108017</v>
      </c>
      <c r="Y41" s="5">
        <v>0.31041000000000002</v>
      </c>
      <c r="AA41" s="7" t="s">
        <v>78</v>
      </c>
      <c r="AB41" s="15">
        <v>0.1579408159691823</v>
      </c>
      <c r="AC41" s="15">
        <v>2.5498159691823008E-3</v>
      </c>
      <c r="AD41" s="15">
        <v>7.0381300110473515E-3</v>
      </c>
      <c r="AF41" s="7" t="s">
        <v>76</v>
      </c>
      <c r="AG41" s="15">
        <v>6.5840102607952117E-2</v>
      </c>
      <c r="AH41" s="15">
        <v>5.8971026079521136E-3</v>
      </c>
      <c r="AI41" s="15">
        <v>2.4841725149027175E-2</v>
      </c>
      <c r="AK41" s="7" t="s">
        <v>31</v>
      </c>
      <c r="AL41" s="15">
        <v>0.12982456140350879</v>
      </c>
      <c r="AM41" s="15">
        <v>9.4875614035087874E-3</v>
      </c>
      <c r="AN41" s="15">
        <v>2.91599272305357E-2</v>
      </c>
      <c r="AP41" s="7" t="s">
        <v>2</v>
      </c>
      <c r="AQ41" s="15">
        <v>0.18811881188118809</v>
      </c>
      <c r="AR41" s="15">
        <v>1.9306811881188102E-2</v>
      </c>
      <c r="AS41" s="15">
        <v>5.154049541821995E-2</v>
      </c>
      <c r="AU41" s="7" t="s">
        <v>4</v>
      </c>
      <c r="AV41" s="15">
        <v>0.16846175089754209</v>
      </c>
      <c r="AW41" s="15">
        <v>9.5657508975420802E-3</v>
      </c>
      <c r="AX41" s="15">
        <v>2.6165313774599564E-2</v>
      </c>
      <c r="AZ41" s="7" t="s">
        <v>94</v>
      </c>
      <c r="BA41" s="15">
        <v>0.26750547045951861</v>
      </c>
      <c r="BB41" s="15">
        <v>1.9120470459518618E-2</v>
      </c>
      <c r="BC41" s="15">
        <v>4.4251436538286545E-2</v>
      </c>
      <c r="BE41" s="7" t="s">
        <v>66</v>
      </c>
      <c r="BF41" s="15">
        <v>0.123941493456505</v>
      </c>
      <c r="BG41" s="15">
        <v>8.813493456505006E-3</v>
      </c>
      <c r="BH41" s="15">
        <v>2.7612492618716438E-2</v>
      </c>
      <c r="BJ41" s="7" t="s">
        <v>87</v>
      </c>
      <c r="BK41" s="15">
        <v>6.2904911180773251E-2</v>
      </c>
      <c r="BL41" s="15">
        <v>1.8099111807732549E-3</v>
      </c>
      <c r="BM41" s="15">
        <v>7.5567248998925094E-3</v>
      </c>
    </row>
    <row r="42" spans="1:65" x14ac:dyDescent="0.2">
      <c r="A42" s="10" t="s">
        <v>38</v>
      </c>
      <c r="B42" s="12">
        <v>9.6480476273857474E-2</v>
      </c>
      <c r="C42" s="12">
        <v>0.12013681060282171</v>
      </c>
      <c r="D42" s="12">
        <v>9.1228070175438603E-2</v>
      </c>
      <c r="E42" s="12">
        <v>0.12871287128712869</v>
      </c>
      <c r="F42" s="12">
        <v>0.10218171775752551</v>
      </c>
      <c r="G42" s="12">
        <v>0.10339168490153169</v>
      </c>
      <c r="H42" s="12">
        <v>0.1139337952270978</v>
      </c>
      <c r="I42" s="12">
        <v>9.8014629049111804E-2</v>
      </c>
      <c r="J42" s="13">
        <v>0.102509</v>
      </c>
      <c r="L42" s="7" t="s">
        <v>38</v>
      </c>
      <c r="M42" s="11">
        <f t="shared" si="1"/>
        <v>-6.028523726142529E-3</v>
      </c>
      <c r="N42" s="11">
        <f t="shared" si="2"/>
        <v>1.7627810602821703E-2</v>
      </c>
      <c r="O42" s="11">
        <f t="shared" si="3"/>
        <v>-1.12809298245614E-2</v>
      </c>
      <c r="P42" s="11">
        <f t="shared" si="4"/>
        <v>2.6203871287128686E-2</v>
      </c>
      <c r="Q42" s="11">
        <f t="shared" si="5"/>
        <v>-3.27282242474497E-4</v>
      </c>
      <c r="R42" s="11">
        <f t="shared" si="6"/>
        <v>8.8268490153169121E-4</v>
      </c>
      <c r="S42" s="11">
        <f t="shared" si="7"/>
        <v>1.14247952270978E-2</v>
      </c>
      <c r="T42" s="11">
        <f t="shared" si="8"/>
        <v>-4.494370950888199E-3</v>
      </c>
      <c r="V42" s="3">
        <v>39</v>
      </c>
      <c r="W42" s="4" t="s">
        <v>38</v>
      </c>
      <c r="X42" s="5">
        <v>0.102509</v>
      </c>
      <c r="Y42" s="5">
        <v>0.30332399999999998</v>
      </c>
      <c r="AA42" s="7" t="s">
        <v>17</v>
      </c>
      <c r="AB42" s="15">
        <v>0.11819296095254769</v>
      </c>
      <c r="AC42" s="15">
        <v>2.1629609525476989E-3</v>
      </c>
      <c r="AD42" s="15">
        <v>6.7535757520949535E-3</v>
      </c>
      <c r="AF42" s="7" t="s">
        <v>85</v>
      </c>
      <c r="AG42" s="15">
        <v>4.5318512184694307E-2</v>
      </c>
      <c r="AH42" s="15">
        <v>4.8555121846943078E-3</v>
      </c>
      <c r="AI42" s="15">
        <v>2.4641391062509493E-2</v>
      </c>
      <c r="AK42" s="7" t="s">
        <v>58</v>
      </c>
      <c r="AL42" s="15">
        <v>3.1578947368421047E-2</v>
      </c>
      <c r="AM42" s="15">
        <v>3.1849473684210476E-3</v>
      </c>
      <c r="AN42" s="15">
        <v>1.9174878798440986E-2</v>
      </c>
      <c r="AP42" s="7" t="s">
        <v>24</v>
      </c>
      <c r="AQ42" s="15">
        <v>3.9603960396039598E-2</v>
      </c>
      <c r="AR42" s="15">
        <v>6.502960396039599E-3</v>
      </c>
      <c r="AS42" s="15">
        <v>3.6348475713724515E-2</v>
      </c>
      <c r="AU42" s="7" t="s">
        <v>19</v>
      </c>
      <c r="AV42" s="15">
        <v>0.13062689864678259</v>
      </c>
      <c r="AW42" s="15">
        <v>8.1868986467825977E-3</v>
      </c>
      <c r="AX42" s="15">
        <v>2.4975209492291352E-2</v>
      </c>
      <c r="AZ42" s="7" t="s">
        <v>76</v>
      </c>
      <c r="BA42" s="15">
        <v>6.7833698030634576E-2</v>
      </c>
      <c r="BB42" s="15">
        <v>7.8906980306345728E-3</v>
      </c>
      <c r="BC42" s="15">
        <v>3.3239806858145447E-2</v>
      </c>
      <c r="BE42" s="7" t="s">
        <v>81</v>
      </c>
      <c r="BF42" s="15">
        <v>0.1208622016936105</v>
      </c>
      <c r="BG42" s="15">
        <v>8.588201693610506E-3</v>
      </c>
      <c r="BH42" s="15">
        <v>2.7202731908645899E-2</v>
      </c>
      <c r="BJ42" s="7" t="s">
        <v>19</v>
      </c>
      <c r="BK42" s="15">
        <v>0.1247648902821317</v>
      </c>
      <c r="BL42" s="15">
        <v>2.324890282131703E-3</v>
      </c>
      <c r="BM42" s="15">
        <v>7.0923831291902798E-3</v>
      </c>
    </row>
    <row r="43" spans="1:65" x14ac:dyDescent="0.2">
      <c r="A43" s="10" t="s">
        <v>39</v>
      </c>
      <c r="B43" s="12">
        <v>7.9320609350376464E-2</v>
      </c>
      <c r="C43" s="12">
        <v>0.1051731509191962</v>
      </c>
      <c r="D43" s="12">
        <v>0.11228070175438599</v>
      </c>
      <c r="E43" s="12">
        <v>5.9405940594059403E-2</v>
      </c>
      <c r="F43" s="12">
        <v>7.6774371720519194E-2</v>
      </c>
      <c r="G43" s="12">
        <v>8.9168490153172866E-2</v>
      </c>
      <c r="H43" s="12">
        <v>9.237875288683603E-2</v>
      </c>
      <c r="I43" s="12">
        <v>7.6071055381400216E-2</v>
      </c>
      <c r="J43" s="13">
        <v>8.3228999999999997E-2</v>
      </c>
      <c r="L43" s="7" t="s">
        <v>39</v>
      </c>
      <c r="M43" s="11">
        <f t="shared" si="1"/>
        <v>-3.9083906496235332E-3</v>
      </c>
      <c r="N43" s="11">
        <f t="shared" si="2"/>
        <v>2.1944150919196201E-2</v>
      </c>
      <c r="O43" s="11">
        <f t="shared" si="3"/>
        <v>2.9051701754385997E-2</v>
      </c>
      <c r="P43" s="11">
        <f t="shared" si="4"/>
        <v>-2.3823059405940594E-2</v>
      </c>
      <c r="Q43" s="11">
        <f t="shared" si="5"/>
        <v>-6.4546282794808035E-3</v>
      </c>
      <c r="R43" s="11">
        <f t="shared" si="6"/>
        <v>5.9394901531728689E-3</v>
      </c>
      <c r="S43" s="11">
        <f t="shared" si="7"/>
        <v>9.1497528868360323E-3</v>
      </c>
      <c r="T43" s="11">
        <f t="shared" si="8"/>
        <v>-7.1579446185997819E-3</v>
      </c>
      <c r="V43" s="3">
        <v>40</v>
      </c>
      <c r="W43" s="4" t="s">
        <v>39</v>
      </c>
      <c r="X43" s="5">
        <v>8.3228999999999997E-2</v>
      </c>
      <c r="Y43" s="5">
        <v>0.27623500000000001</v>
      </c>
      <c r="AA43" s="7" t="s">
        <v>85</v>
      </c>
      <c r="AB43" s="15">
        <v>4.1673962528453859E-2</v>
      </c>
      <c r="AC43" s="15">
        <v>1.21096252845386E-3</v>
      </c>
      <c r="AD43" s="15">
        <v>6.1455517133164172E-3</v>
      </c>
      <c r="AF43" s="7" t="s">
        <v>14</v>
      </c>
      <c r="AG43" s="15">
        <v>0.27276613937580158</v>
      </c>
      <c r="AH43" s="15">
        <v>1.0610139375801575E-2</v>
      </c>
      <c r="AI43" s="15">
        <v>2.4123931662191123E-2</v>
      </c>
      <c r="AK43" s="7" t="s">
        <v>103</v>
      </c>
      <c r="AL43" s="15">
        <v>3.1578947368421047E-2</v>
      </c>
      <c r="AM43" s="15">
        <v>3.1849473684210476E-3</v>
      </c>
      <c r="AN43" s="15">
        <v>1.9174878798440986E-2</v>
      </c>
      <c r="AP43" s="7" t="s">
        <v>22</v>
      </c>
      <c r="AQ43" s="15">
        <v>0.12871287128712869</v>
      </c>
      <c r="AR43" s="15">
        <v>1.1631871287128684E-2</v>
      </c>
      <c r="AS43" s="15">
        <v>3.6177190847146205E-2</v>
      </c>
      <c r="AU43" s="7" t="s">
        <v>2</v>
      </c>
      <c r="AV43" s="15">
        <v>0.1775752554542944</v>
      </c>
      <c r="AW43" s="15">
        <v>8.7632554542944052E-3</v>
      </c>
      <c r="AX43" s="15">
        <v>2.3393946673859516E-2</v>
      </c>
      <c r="AZ43" s="7" t="s">
        <v>34</v>
      </c>
      <c r="BA43" s="15">
        <v>0.12910284463894969</v>
      </c>
      <c r="BB43" s="15">
        <v>1.046884463894969E-2</v>
      </c>
      <c r="BC43" s="15">
        <v>3.2374699299397548E-2</v>
      </c>
      <c r="BE43" s="7" t="s">
        <v>1</v>
      </c>
      <c r="BF43" s="15">
        <v>0.15858352578906851</v>
      </c>
      <c r="BG43" s="15">
        <v>8.3505257890685025E-3</v>
      </c>
      <c r="BH43" s="15">
        <v>2.3370665613612073E-2</v>
      </c>
      <c r="BJ43" s="7" t="s">
        <v>32</v>
      </c>
      <c r="BK43" s="15">
        <v>0.12079414838035531</v>
      </c>
      <c r="BL43" s="15">
        <v>2.2601483803553063E-3</v>
      </c>
      <c r="BM43" s="15">
        <v>6.9920165704718254E-3</v>
      </c>
    </row>
    <row r="44" spans="1:65" x14ac:dyDescent="0.2">
      <c r="A44" s="10" t="s">
        <v>40</v>
      </c>
      <c r="B44" s="12">
        <v>0.1166170548065137</v>
      </c>
      <c r="C44" s="12">
        <v>0.1218469431380932</v>
      </c>
      <c r="D44" s="12">
        <v>0.10877192982456139</v>
      </c>
      <c r="E44" s="12">
        <v>9.9009900990099015E-2</v>
      </c>
      <c r="F44" s="12">
        <v>0.13753106876553439</v>
      </c>
      <c r="G44" s="12">
        <v>4.4857768052516407E-2</v>
      </c>
      <c r="H44" s="12">
        <v>0.13471901462663591</v>
      </c>
      <c r="I44" s="12">
        <v>0.15318704284221529</v>
      </c>
      <c r="J44" s="13">
        <v>0.124192</v>
      </c>
      <c r="L44" s="7" t="s">
        <v>40</v>
      </c>
      <c r="M44" s="11">
        <f t="shared" si="1"/>
        <v>-7.574945193486296E-3</v>
      </c>
      <c r="N44" s="11">
        <f t="shared" si="2"/>
        <v>-2.3450568619067941E-3</v>
      </c>
      <c r="O44" s="11">
        <f t="shared" si="3"/>
        <v>-1.5420070175438602E-2</v>
      </c>
      <c r="P44" s="11">
        <f t="shared" si="4"/>
        <v>-2.5182099009900982E-2</v>
      </c>
      <c r="Q44" s="11">
        <f t="shared" si="5"/>
        <v>1.3339068765534395E-2</v>
      </c>
      <c r="R44" s="11">
        <f t="shared" si="6"/>
        <v>-7.9334231947483597E-2</v>
      </c>
      <c r="S44" s="11">
        <f t="shared" si="7"/>
        <v>1.0527014626635911E-2</v>
      </c>
      <c r="T44" s="11">
        <f t="shared" si="8"/>
        <v>2.8995042842215296E-2</v>
      </c>
      <c r="V44" s="3">
        <v>41</v>
      </c>
      <c r="W44" s="4" t="s">
        <v>40</v>
      </c>
      <c r="X44" s="5">
        <v>0.124192</v>
      </c>
      <c r="Y44" s="5">
        <v>0.32980900000000002</v>
      </c>
      <c r="AA44" s="7" t="s">
        <v>6</v>
      </c>
      <c r="AB44" s="15">
        <v>0.16827175625984939</v>
      </c>
      <c r="AC44" s="15">
        <v>1.3627562598493848E-3</v>
      </c>
      <c r="AD44" s="15">
        <v>3.6544425907187499E-3</v>
      </c>
      <c r="AF44" s="7" t="s">
        <v>4</v>
      </c>
      <c r="AG44" s="15">
        <v>0.16716545532278751</v>
      </c>
      <c r="AH44" s="15">
        <v>8.2694553227875001E-3</v>
      </c>
      <c r="AI44" s="15">
        <v>2.2619540858142613E-2</v>
      </c>
      <c r="AK44" s="7" t="s">
        <v>20</v>
      </c>
      <c r="AL44" s="15">
        <v>0.1228070175438596</v>
      </c>
      <c r="AM44" s="15">
        <v>5.0750175438595974E-3</v>
      </c>
      <c r="AN44" s="15">
        <v>1.5746302482662365E-2</v>
      </c>
      <c r="AP44" s="7" t="s">
        <v>27</v>
      </c>
      <c r="AQ44" s="15">
        <v>9.9009900990099015E-2</v>
      </c>
      <c r="AR44" s="15">
        <v>9.1209009900990179E-3</v>
      </c>
      <c r="AS44" s="15">
        <v>3.1887917316711596E-2</v>
      </c>
      <c r="AU44" s="7" t="s">
        <v>107</v>
      </c>
      <c r="AV44" s="15">
        <v>0.4484948909141121</v>
      </c>
      <c r="AW44" s="15">
        <v>1.0665890914112075E-2</v>
      </c>
      <c r="AX44" s="15">
        <v>2.1498091060669487E-2</v>
      </c>
      <c r="AZ44" s="7" t="s">
        <v>91</v>
      </c>
      <c r="BA44" s="15">
        <v>0.14442013129102849</v>
      </c>
      <c r="BB44" s="15">
        <v>1.0112131291028476E-2</v>
      </c>
      <c r="BC44" s="15">
        <v>2.9655039681366353E-2</v>
      </c>
      <c r="BE44" s="7" t="s">
        <v>75</v>
      </c>
      <c r="BF44" s="15">
        <v>0.11316397228637411</v>
      </c>
      <c r="BG44" s="15">
        <v>6.8489722863740998E-3</v>
      </c>
      <c r="BH44" s="15">
        <v>2.2219032358276776E-2</v>
      </c>
      <c r="BJ44" s="7" t="s">
        <v>21</v>
      </c>
      <c r="BK44" s="15">
        <v>5.8098223615465003E-2</v>
      </c>
      <c r="BL44" s="15">
        <v>1.3102236154650046E-3</v>
      </c>
      <c r="BM44" s="15">
        <v>5.6611071212566569E-3</v>
      </c>
    </row>
    <row r="45" spans="1:65" x14ac:dyDescent="0.2">
      <c r="A45" s="10" t="s">
        <v>41</v>
      </c>
      <c r="B45" s="12">
        <v>0.13097531080371211</v>
      </c>
      <c r="C45" s="12">
        <v>0.2159042325780248</v>
      </c>
      <c r="D45" s="12">
        <v>0.1368421052631579</v>
      </c>
      <c r="E45" s="12">
        <v>0.18811881188118809</v>
      </c>
      <c r="F45" s="12">
        <v>0.16625241645954161</v>
      </c>
      <c r="G45" s="12">
        <v>2.1881838074398249E-3</v>
      </c>
      <c r="H45" s="12">
        <v>0.10469591993841421</v>
      </c>
      <c r="I45" s="12">
        <v>0.1818181818181818</v>
      </c>
      <c r="J45" s="13">
        <v>0.14637700000000001</v>
      </c>
      <c r="L45" s="7" t="s">
        <v>41</v>
      </c>
      <c r="M45" s="11">
        <f t="shared" si="1"/>
        <v>-1.5401689196287899E-2</v>
      </c>
      <c r="N45" s="11">
        <f t="shared" si="2"/>
        <v>6.9527232578024789E-2</v>
      </c>
      <c r="O45" s="11">
        <f t="shared" si="3"/>
        <v>-9.5348947368421033E-3</v>
      </c>
      <c r="P45" s="11">
        <f t="shared" si="4"/>
        <v>4.1741811881188084E-2</v>
      </c>
      <c r="Q45" s="11">
        <f t="shared" si="5"/>
        <v>1.9875416459541606E-2</v>
      </c>
      <c r="R45" s="11">
        <f t="shared" si="6"/>
        <v>-0.14418881619256019</v>
      </c>
      <c r="S45" s="11">
        <f t="shared" si="7"/>
        <v>-4.1681080061585801E-2</v>
      </c>
      <c r="T45" s="11">
        <f t="shared" si="8"/>
        <v>3.5441181818181788E-2</v>
      </c>
      <c r="V45" s="3">
        <v>42</v>
      </c>
      <c r="W45" s="4" t="s">
        <v>41</v>
      </c>
      <c r="X45" s="5">
        <v>0.14637700000000001</v>
      </c>
      <c r="Y45" s="5">
        <v>0.353493</v>
      </c>
      <c r="AA45" s="7" t="s">
        <v>2</v>
      </c>
      <c r="AB45" s="15">
        <v>0.1679215548940641</v>
      </c>
      <c r="AC45" s="15">
        <v>-8.9044510593588866E-4</v>
      </c>
      <c r="AD45" s="15">
        <v>-2.3770875370357014E-3</v>
      </c>
      <c r="AF45" s="7" t="s">
        <v>18</v>
      </c>
      <c r="AG45" s="15">
        <v>0.1205643437366396</v>
      </c>
      <c r="AH45" s="15">
        <v>7.1383437366396019E-3</v>
      </c>
      <c r="AI45" s="15">
        <v>2.2509842415480534E-2</v>
      </c>
      <c r="AK45" s="7" t="s">
        <v>8</v>
      </c>
      <c r="AL45" s="15">
        <v>1.4035087719298249E-2</v>
      </c>
      <c r="AM45" s="15">
        <v>1.5160877192982487E-3</v>
      </c>
      <c r="AN45" s="15">
        <v>1.3635108546616141E-2</v>
      </c>
      <c r="AP45" s="7" t="s">
        <v>7</v>
      </c>
      <c r="AQ45" s="15">
        <v>9.9009900990099011E-3</v>
      </c>
      <c r="AR45" s="15">
        <v>1.4879900990099008E-3</v>
      </c>
      <c r="AS45" s="15">
        <v>1.6291030009523973E-2</v>
      </c>
      <c r="AU45" s="7" t="s">
        <v>96</v>
      </c>
      <c r="AV45" s="15">
        <v>0.27064346865506772</v>
      </c>
      <c r="AW45" s="15">
        <v>8.3874686550677313E-3</v>
      </c>
      <c r="AX45" s="15">
        <v>1.9067975809025653E-2</v>
      </c>
      <c r="AZ45" s="7" t="s">
        <v>6</v>
      </c>
      <c r="BA45" s="15">
        <v>0.17778993435448581</v>
      </c>
      <c r="BB45" s="15">
        <v>1.0880934354485811E-2</v>
      </c>
      <c r="BC45" s="15">
        <v>2.9178915631062712E-2</v>
      </c>
      <c r="BE45" s="7" t="s">
        <v>88</v>
      </c>
      <c r="BF45" s="15">
        <v>0.36643571978444961</v>
      </c>
      <c r="BG45" s="15">
        <v>1.038371978444963E-2</v>
      </c>
      <c r="BH45" s="15">
        <v>2.1685019483316303E-2</v>
      </c>
      <c r="BJ45" s="7" t="s">
        <v>25</v>
      </c>
      <c r="BK45" s="15">
        <v>0.1151515151515152</v>
      </c>
      <c r="BL45" s="15">
        <v>1.6755151515152056E-3</v>
      </c>
      <c r="BM45" s="15">
        <v>5.2825038984406604E-3</v>
      </c>
    </row>
    <row r="46" spans="1:65" x14ac:dyDescent="0.2">
      <c r="A46" s="10" t="s">
        <v>42</v>
      </c>
      <c r="B46" s="12">
        <v>6.075993696375416E-2</v>
      </c>
      <c r="C46" s="12">
        <v>0.19495510902094909</v>
      </c>
      <c r="D46" s="12">
        <v>0.1192982456140351</v>
      </c>
      <c r="E46" s="12">
        <v>0.14851485148514851</v>
      </c>
      <c r="F46" s="12">
        <v>9.6934548467274229E-2</v>
      </c>
      <c r="G46" s="12">
        <v>0</v>
      </c>
      <c r="H46" s="12">
        <v>1.8475750577367209E-2</v>
      </c>
      <c r="I46" s="12">
        <v>0.10282131661442009</v>
      </c>
      <c r="J46" s="13">
        <v>8.6083000000000007E-2</v>
      </c>
      <c r="L46" s="7" t="s">
        <v>42</v>
      </c>
      <c r="M46" s="11">
        <f t="shared" si="1"/>
        <v>-2.5323063036245846E-2</v>
      </c>
      <c r="N46" s="11">
        <f t="shared" si="2"/>
        <v>0.10887210902094908</v>
      </c>
      <c r="O46" s="11">
        <f t="shared" si="3"/>
        <v>3.3215245614035091E-2</v>
      </c>
      <c r="P46" s="11">
        <f t="shared" si="4"/>
        <v>6.2431851485148501E-2</v>
      </c>
      <c r="Q46" s="11">
        <f t="shared" si="5"/>
        <v>1.0851548467274222E-2</v>
      </c>
      <c r="R46" s="11">
        <f t="shared" si="6"/>
        <v>-8.6083000000000007E-2</v>
      </c>
      <c r="S46" s="11">
        <f t="shared" si="7"/>
        <v>-6.7607249422632798E-2</v>
      </c>
      <c r="T46" s="11">
        <f t="shared" si="8"/>
        <v>1.6738316614420087E-2</v>
      </c>
      <c r="V46" s="3">
        <v>43</v>
      </c>
      <c r="W46" s="4" t="s">
        <v>42</v>
      </c>
      <c r="X46" s="5">
        <v>8.6083000000000007E-2</v>
      </c>
      <c r="Y46" s="5">
        <v>0.28049400000000002</v>
      </c>
      <c r="AA46" s="7" t="s">
        <v>91</v>
      </c>
      <c r="AB46" s="15">
        <v>0.1330765189984241</v>
      </c>
      <c r="AC46" s="15">
        <v>-1.2314810015759126E-3</v>
      </c>
      <c r="AD46" s="15">
        <v>-3.6114659627671983E-3</v>
      </c>
      <c r="AF46" s="7" t="s">
        <v>27</v>
      </c>
      <c r="AG46" s="15">
        <v>9.5339888841385209E-2</v>
      </c>
      <c r="AH46" s="15">
        <v>5.4508888413852125E-3</v>
      </c>
      <c r="AI46" s="15">
        <v>1.9057052901392205E-2</v>
      </c>
      <c r="AK46" s="7" t="s">
        <v>66</v>
      </c>
      <c r="AL46" s="15">
        <v>0.1192982456140351</v>
      </c>
      <c r="AM46" s="15">
        <v>4.1702456140351035E-3</v>
      </c>
      <c r="AN46" s="15">
        <v>1.306529321251031E-2</v>
      </c>
      <c r="AP46" s="7" t="s">
        <v>35</v>
      </c>
      <c r="AQ46" s="15">
        <v>0.11881188118811881</v>
      </c>
      <c r="AR46" s="15">
        <v>3.883881188118804E-3</v>
      </c>
      <c r="AS46" s="15">
        <v>1.2177352028791364E-2</v>
      </c>
      <c r="AU46" s="7" t="s">
        <v>22</v>
      </c>
      <c r="AV46" s="15">
        <v>0.1223418945042806</v>
      </c>
      <c r="AW46" s="15">
        <v>5.2608945042805916E-3</v>
      </c>
      <c r="AX46" s="15">
        <v>1.6362318651055412E-2</v>
      </c>
      <c r="AZ46" s="7" t="s">
        <v>86</v>
      </c>
      <c r="BA46" s="15">
        <v>0.12253829321663021</v>
      </c>
      <c r="BB46" s="15">
        <v>8.9122932166302016E-3</v>
      </c>
      <c r="BC46" s="15">
        <v>2.8082155299513814E-2</v>
      </c>
      <c r="BE46" s="7" t="s">
        <v>90</v>
      </c>
      <c r="BF46" s="15">
        <v>0.2702078521939954</v>
      </c>
      <c r="BG46" s="15">
        <v>9.0028521939953809E-3</v>
      </c>
      <c r="BH46" s="15">
        <v>2.0493537916957766E-2</v>
      </c>
      <c r="BJ46" s="7" t="s">
        <v>30</v>
      </c>
      <c r="BK46" s="15">
        <v>0.1322884012539185</v>
      </c>
      <c r="BL46" s="15">
        <v>1.4354012539185002E-3</v>
      </c>
      <c r="BM46" s="15">
        <v>4.2562187290021E-3</v>
      </c>
    </row>
    <row r="47" spans="1:65" x14ac:dyDescent="0.2">
      <c r="A47" s="10" t="s">
        <v>43</v>
      </c>
      <c r="B47" s="12">
        <v>2.1887585361582911E-2</v>
      </c>
      <c r="C47" s="12">
        <v>7.524583155194528E-2</v>
      </c>
      <c r="D47" s="12">
        <v>1.754385964912281E-2</v>
      </c>
      <c r="E47" s="12">
        <v>9.9009900990099015E-2</v>
      </c>
      <c r="F47" s="12">
        <v>3.2587682960508152E-2</v>
      </c>
      <c r="G47" s="12">
        <v>0</v>
      </c>
      <c r="H47" s="12">
        <v>0</v>
      </c>
      <c r="I47" s="12">
        <v>3.5109717868338559E-2</v>
      </c>
      <c r="J47" s="13">
        <v>3.0147E-2</v>
      </c>
      <c r="L47" s="7" t="s">
        <v>43</v>
      </c>
      <c r="M47" s="11">
        <f t="shared" si="1"/>
        <v>-8.2594146384170897E-3</v>
      </c>
      <c r="N47" s="11">
        <f t="shared" si="2"/>
        <v>4.509883155194528E-2</v>
      </c>
      <c r="O47" s="11">
        <f t="shared" si="3"/>
        <v>-1.2603140350877191E-2</v>
      </c>
      <c r="P47" s="11">
        <f t="shared" si="4"/>
        <v>6.8862900990099007E-2</v>
      </c>
      <c r="Q47" s="11">
        <f t="shared" si="5"/>
        <v>2.4406829605081518E-3</v>
      </c>
      <c r="R47" s="11">
        <f t="shared" si="6"/>
        <v>-3.0147E-2</v>
      </c>
      <c r="S47" s="11">
        <f t="shared" si="7"/>
        <v>-3.0147E-2</v>
      </c>
      <c r="T47" s="11">
        <f t="shared" si="8"/>
        <v>4.9627178683385592E-3</v>
      </c>
      <c r="V47" s="3">
        <v>44</v>
      </c>
      <c r="W47" s="4" t="s">
        <v>43</v>
      </c>
      <c r="X47" s="5">
        <v>3.0147E-2</v>
      </c>
      <c r="Y47" s="5">
        <v>0.17099500000000001</v>
      </c>
      <c r="AA47" s="7" t="s">
        <v>32</v>
      </c>
      <c r="AB47" s="15">
        <v>0.1173174575380844</v>
      </c>
      <c r="AC47" s="15">
        <v>-1.216542461915604E-3</v>
      </c>
      <c r="AD47" s="15">
        <v>-3.7635073547955711E-3</v>
      </c>
      <c r="AF47" s="7" t="s">
        <v>92</v>
      </c>
      <c r="AG47" s="15">
        <v>1.496365968362548E-2</v>
      </c>
      <c r="AH47" s="15">
        <v>1.9936596836254792E-3</v>
      </c>
      <c r="AI47" s="15">
        <v>1.7619928621146457E-2</v>
      </c>
      <c r="AK47" s="7" t="s">
        <v>15</v>
      </c>
      <c r="AL47" s="15">
        <v>0.38947368421052631</v>
      </c>
      <c r="AM47" s="15">
        <v>4.8276842105263174E-3</v>
      </c>
      <c r="AN47" s="15">
        <v>9.9228079406695601E-3</v>
      </c>
      <c r="AP47" s="7" t="s">
        <v>55</v>
      </c>
      <c r="AQ47" s="15">
        <v>2.9702970297029702E-2</v>
      </c>
      <c r="AR47" s="15">
        <v>1.9599702970297013E-3</v>
      </c>
      <c r="AS47" s="15">
        <v>1.1933574628773145E-2</v>
      </c>
      <c r="AU47" s="7" t="s">
        <v>17</v>
      </c>
      <c r="AV47" s="15">
        <v>0.1212372272852803</v>
      </c>
      <c r="AW47" s="15">
        <v>5.2072272852803081E-3</v>
      </c>
      <c r="AX47" s="15">
        <v>1.6258917613881794E-2</v>
      </c>
      <c r="AZ47" s="7" t="s">
        <v>83</v>
      </c>
      <c r="BA47" s="15">
        <v>1.2582056892778991E-2</v>
      </c>
      <c r="BB47" s="15">
        <v>2.5160568927789905E-3</v>
      </c>
      <c r="BC47" s="15">
        <v>2.5204929603892756E-2</v>
      </c>
      <c r="BE47" s="7" t="s">
        <v>68</v>
      </c>
      <c r="BF47" s="15">
        <v>0.1224018475750577</v>
      </c>
      <c r="BG47" s="15">
        <v>5.720847575057697E-3</v>
      </c>
      <c r="BH47" s="15">
        <v>1.7819290495681945E-2</v>
      </c>
      <c r="BJ47" s="7" t="s">
        <v>2</v>
      </c>
      <c r="BK47" s="15">
        <v>0.17032392894461859</v>
      </c>
      <c r="BL47" s="15">
        <v>1.5119289446186013E-3</v>
      </c>
      <c r="BM47" s="15">
        <v>4.0361695821316389E-3</v>
      </c>
    </row>
    <row r="48" spans="1:65" x14ac:dyDescent="0.2">
      <c r="A48" s="10" t="s">
        <v>44</v>
      </c>
      <c r="B48" s="12">
        <v>0.32358606198564183</v>
      </c>
      <c r="C48" s="12">
        <v>8.9781958101752879E-2</v>
      </c>
      <c r="D48" s="12">
        <v>0.27017543859649118</v>
      </c>
      <c r="E48" s="12">
        <v>0.1089108910891089</v>
      </c>
      <c r="F48" s="12">
        <v>0.25766362883181437</v>
      </c>
      <c r="G48" s="12">
        <v>0.32877461706783367</v>
      </c>
      <c r="H48" s="12">
        <v>0.25250192455735182</v>
      </c>
      <c r="I48" s="12">
        <v>0.22925809822361551</v>
      </c>
      <c r="J48" s="13">
        <v>0.25564599999999998</v>
      </c>
      <c r="L48" s="7" t="s">
        <v>44</v>
      </c>
      <c r="M48" s="11">
        <f t="shared" si="1"/>
        <v>6.7940061985641842E-2</v>
      </c>
      <c r="N48" s="11">
        <f t="shared" si="2"/>
        <v>-0.16586404189824711</v>
      </c>
      <c r="O48" s="11">
        <f t="shared" si="3"/>
        <v>1.4529438596491195E-2</v>
      </c>
      <c r="P48" s="11">
        <f t="shared" si="4"/>
        <v>-0.14673510891089109</v>
      </c>
      <c r="Q48" s="11">
        <f t="shared" si="5"/>
        <v>2.0176288318143887E-3</v>
      </c>
      <c r="R48" s="11">
        <f t="shared" si="6"/>
        <v>7.312861706783369E-2</v>
      </c>
      <c r="S48" s="11">
        <f t="shared" si="7"/>
        <v>-3.1440754426481643E-3</v>
      </c>
      <c r="T48" s="11">
        <f t="shared" si="8"/>
        <v>-2.6387901776384476E-2</v>
      </c>
      <c r="V48" s="3">
        <v>45</v>
      </c>
      <c r="W48" s="4" t="s">
        <v>44</v>
      </c>
      <c r="X48" s="5">
        <v>0.25564599999999998</v>
      </c>
      <c r="Y48" s="5">
        <v>0.43623499999999998</v>
      </c>
      <c r="AA48" s="7" t="s">
        <v>26</v>
      </c>
      <c r="AB48" s="15">
        <v>8.8075643495009626E-2</v>
      </c>
      <c r="AC48" s="15">
        <v>-1.1623565049903722E-3</v>
      </c>
      <c r="AD48" s="15">
        <v>-4.0770848488762427E-3</v>
      </c>
      <c r="AF48" s="7" t="s">
        <v>75</v>
      </c>
      <c r="AG48" s="15">
        <v>0.1115861479264643</v>
      </c>
      <c r="AH48" s="15">
        <v>5.271147926464298E-3</v>
      </c>
      <c r="AI48" s="15">
        <v>1.7100347533363713E-2</v>
      </c>
      <c r="AK48" s="7" t="s">
        <v>54</v>
      </c>
      <c r="AL48" s="15">
        <v>9.8245614035087719E-2</v>
      </c>
      <c r="AM48" s="15">
        <v>1.9466140350877237E-3</v>
      </c>
      <c r="AN48" s="15">
        <v>6.5984903344905527E-3</v>
      </c>
      <c r="AP48" s="7" t="s">
        <v>21</v>
      </c>
      <c r="AQ48" s="15">
        <v>5.9405940594059403E-2</v>
      </c>
      <c r="AR48" s="15">
        <v>2.617940594059405E-3</v>
      </c>
      <c r="AS48" s="15">
        <v>1.1311383770774683E-2</v>
      </c>
      <c r="AU48" s="7" t="s">
        <v>21</v>
      </c>
      <c r="AV48" s="15">
        <v>6.0480530240265118E-2</v>
      </c>
      <c r="AW48" s="15">
        <v>3.6925302402651197E-3</v>
      </c>
      <c r="AX48" s="15">
        <v>1.5954382894557709E-2</v>
      </c>
      <c r="AZ48" s="7" t="s">
        <v>75</v>
      </c>
      <c r="BA48" s="15">
        <v>0.1137855579868709</v>
      </c>
      <c r="BB48" s="15">
        <v>7.4705579868708932E-3</v>
      </c>
      <c r="BC48" s="15">
        <v>2.4235544064749464E-2</v>
      </c>
      <c r="BE48" s="7" t="s">
        <v>92</v>
      </c>
      <c r="BF48" s="15">
        <v>1.4626635873749041E-2</v>
      </c>
      <c r="BG48" s="15">
        <v>1.6566358737490402E-3</v>
      </c>
      <c r="BH48" s="15">
        <v>1.4641318218165944E-2</v>
      </c>
      <c r="BJ48" s="7" t="s">
        <v>28</v>
      </c>
      <c r="BK48" s="15">
        <v>0.4311389759665622</v>
      </c>
      <c r="BL48" s="15">
        <v>1.7097596656218128E-4</v>
      </c>
      <c r="BM48" s="15">
        <v>3.4524975882061707E-4</v>
      </c>
    </row>
    <row r="49" spans="1:65" x14ac:dyDescent="0.2">
      <c r="A49" s="10" t="s">
        <v>45</v>
      </c>
      <c r="B49" s="12">
        <v>0.11836806163544041</v>
      </c>
      <c r="C49" s="12">
        <v>4.1043180846515613E-2</v>
      </c>
      <c r="D49" s="12">
        <v>0.1368421052631579</v>
      </c>
      <c r="E49" s="12">
        <v>0.11881188118811881</v>
      </c>
      <c r="F49" s="12">
        <v>9.2792046396023203E-2</v>
      </c>
      <c r="G49" s="12">
        <v>0.35120350109409187</v>
      </c>
      <c r="H49" s="12">
        <v>0.26943802925327182</v>
      </c>
      <c r="I49" s="12">
        <v>7.9414838035527693E-2</v>
      </c>
      <c r="J49" s="13">
        <v>0.126746</v>
      </c>
      <c r="L49" s="7" t="s">
        <v>45</v>
      </c>
      <c r="M49" s="11">
        <f t="shared" si="1"/>
        <v>-8.3779383645595923E-3</v>
      </c>
      <c r="N49" s="11">
        <f t="shared" si="2"/>
        <v>-8.5702819153484378E-2</v>
      </c>
      <c r="O49" s="11">
        <f t="shared" si="3"/>
        <v>1.0096105263157906E-2</v>
      </c>
      <c r="P49" s="11">
        <f t="shared" si="4"/>
        <v>-7.9341188118811912E-3</v>
      </c>
      <c r="Q49" s="11">
        <f t="shared" si="5"/>
        <v>-3.3953953603976794E-2</v>
      </c>
      <c r="R49" s="11">
        <f t="shared" si="6"/>
        <v>0.22445750109409188</v>
      </c>
      <c r="S49" s="11">
        <f t="shared" si="7"/>
        <v>0.14269202925327182</v>
      </c>
      <c r="T49" s="11">
        <f t="shared" si="8"/>
        <v>-4.7331161964472304E-2</v>
      </c>
      <c r="V49" s="3">
        <v>46</v>
      </c>
      <c r="W49" s="4" t="s">
        <v>45</v>
      </c>
      <c r="X49" s="5">
        <v>0.126746</v>
      </c>
      <c r="Y49" s="5">
        <v>0.33269700000000002</v>
      </c>
      <c r="AA49" s="7" t="s">
        <v>51</v>
      </c>
      <c r="AB49" s="15">
        <v>0.17720189108737519</v>
      </c>
      <c r="AC49" s="15">
        <v>-2.276108912624808E-3</v>
      </c>
      <c r="AD49" s="15">
        <v>-5.9310429709684854E-3</v>
      </c>
      <c r="AF49" s="7" t="s">
        <v>88</v>
      </c>
      <c r="AG49" s="15">
        <v>0.3638306968790081</v>
      </c>
      <c r="AH49" s="15">
        <v>7.7786968790081179E-3</v>
      </c>
      <c r="AI49" s="15">
        <v>1.6244775174761077E-2</v>
      </c>
      <c r="AK49" s="7" t="s">
        <v>53</v>
      </c>
      <c r="AL49" s="15">
        <v>3.8596491228070177E-2</v>
      </c>
      <c r="AM49" s="15">
        <v>1.2384912280701751E-3</v>
      </c>
      <c r="AN49" s="15">
        <v>6.5306800606942297E-3</v>
      </c>
      <c r="AP49" s="7" t="s">
        <v>56</v>
      </c>
      <c r="AQ49" s="15">
        <v>3.9603960396039598E-2</v>
      </c>
      <c r="AR49" s="15">
        <v>2.1459603960395993E-3</v>
      </c>
      <c r="AS49" s="15">
        <v>1.130130918571985E-2</v>
      </c>
      <c r="AU49" s="7" t="s">
        <v>43</v>
      </c>
      <c r="AV49" s="15">
        <v>3.2587682960508152E-2</v>
      </c>
      <c r="AW49" s="15">
        <v>2.4406829605081518E-3</v>
      </c>
      <c r="AX49" s="15">
        <v>1.4273417120431309E-2</v>
      </c>
      <c r="AZ49" s="7" t="s">
        <v>1</v>
      </c>
      <c r="BA49" s="15">
        <v>0.1586433260393873</v>
      </c>
      <c r="BB49" s="15">
        <v>8.4103260393872947E-3</v>
      </c>
      <c r="BC49" s="15">
        <v>2.3538028925709175E-2</v>
      </c>
      <c r="BE49" s="7" t="s">
        <v>3</v>
      </c>
      <c r="BF49" s="15">
        <v>0.1693610469591994</v>
      </c>
      <c r="BG49" s="15">
        <v>5.0560469591993951E-3</v>
      </c>
      <c r="BH49" s="15">
        <v>1.3644304066535322E-2</v>
      </c>
      <c r="BJ49" s="7" t="s">
        <v>4</v>
      </c>
      <c r="BK49" s="15">
        <v>0.15882967607105539</v>
      </c>
      <c r="BL49" s="15">
        <v>-6.632392894462269E-5</v>
      </c>
      <c r="BM49" s="15">
        <v>-1.8141664258121193E-4</v>
      </c>
    </row>
    <row r="50" spans="1:65" x14ac:dyDescent="0.2">
      <c r="A50" s="10" t="s">
        <v>46</v>
      </c>
      <c r="B50" s="12">
        <v>0.14235685519173519</v>
      </c>
      <c r="C50" s="12">
        <v>9.1064557503206495E-2</v>
      </c>
      <c r="D50" s="12">
        <v>0.12982456140350879</v>
      </c>
      <c r="E50" s="12">
        <v>8.9108910891089105E-2</v>
      </c>
      <c r="F50" s="12">
        <v>0.1132283899475283</v>
      </c>
      <c r="G50" s="12">
        <v>0.24945295404814011</v>
      </c>
      <c r="H50" s="12">
        <v>0.18937644341801391</v>
      </c>
      <c r="I50" s="12">
        <v>0.10198537095088819</v>
      </c>
      <c r="J50" s="13">
        <v>0.13380700000000001</v>
      </c>
      <c r="L50" s="7" t="s">
        <v>46</v>
      </c>
      <c r="M50" s="11">
        <f t="shared" si="1"/>
        <v>8.5498551917351784E-3</v>
      </c>
      <c r="N50" s="11">
        <f t="shared" si="2"/>
        <v>-4.2742442496793515E-2</v>
      </c>
      <c r="O50" s="11">
        <f t="shared" si="3"/>
        <v>-3.9824385964912223E-3</v>
      </c>
      <c r="P50" s="11">
        <f t="shared" si="4"/>
        <v>-4.4698089108910904E-2</v>
      </c>
      <c r="Q50" s="11">
        <f t="shared" si="5"/>
        <v>-2.0578610052471705E-2</v>
      </c>
      <c r="R50" s="11">
        <f t="shared" si="6"/>
        <v>0.1156459540481401</v>
      </c>
      <c r="S50" s="11">
        <f t="shared" si="7"/>
        <v>5.5569443418013897E-2</v>
      </c>
      <c r="T50" s="11">
        <f t="shared" si="8"/>
        <v>-3.1821629049111816E-2</v>
      </c>
      <c r="V50" s="3">
        <v>47</v>
      </c>
      <c r="W50" s="4" t="s">
        <v>46</v>
      </c>
      <c r="X50" s="5">
        <v>0.13380700000000001</v>
      </c>
      <c r="Y50" s="5">
        <v>0.34045399999999998</v>
      </c>
      <c r="AA50" s="7" t="s">
        <v>107</v>
      </c>
      <c r="AB50" s="15">
        <v>0.43267378742777102</v>
      </c>
      <c r="AC50" s="15">
        <v>-5.1552125722290065E-3</v>
      </c>
      <c r="AD50" s="15">
        <v>-1.0390808438538547E-2</v>
      </c>
      <c r="AF50" s="7" t="s">
        <v>36</v>
      </c>
      <c r="AG50" s="15">
        <v>0.1162890123984609</v>
      </c>
      <c r="AH50" s="15">
        <v>4.4660123984608946E-3</v>
      </c>
      <c r="AI50" s="15">
        <v>1.4170754254104762E-2</v>
      </c>
      <c r="AK50" s="7" t="s">
        <v>33</v>
      </c>
      <c r="AL50" s="15">
        <v>0.1228070175438596</v>
      </c>
      <c r="AM50" s="15">
        <v>8.1801754385960046E-4</v>
      </c>
      <c r="AN50" s="15">
        <v>2.4994348705228856E-3</v>
      </c>
      <c r="AP50" s="7" t="s">
        <v>34</v>
      </c>
      <c r="AQ50" s="15">
        <v>0.11881188118811881</v>
      </c>
      <c r="AR50" s="15">
        <v>1.7788118811880305E-4</v>
      </c>
      <c r="AS50" s="15">
        <v>5.5009412929291372E-4</v>
      </c>
      <c r="AU50" s="7" t="s">
        <v>3</v>
      </c>
      <c r="AV50" s="15">
        <v>0.16956641811654241</v>
      </c>
      <c r="AW50" s="15">
        <v>5.2614181165424045E-3</v>
      </c>
      <c r="AX50" s="15">
        <v>1.4198520935938765E-2</v>
      </c>
      <c r="AZ50" s="7" t="s">
        <v>39</v>
      </c>
      <c r="BA50" s="15">
        <v>8.9168490153172866E-2</v>
      </c>
      <c r="BB50" s="15">
        <v>5.9394901531728689E-3</v>
      </c>
      <c r="BC50" s="15">
        <v>2.1501584350907266E-2</v>
      </c>
      <c r="BE50" s="7" t="s">
        <v>99</v>
      </c>
      <c r="BF50" s="15">
        <v>0.46651270207852191</v>
      </c>
      <c r="BG50" s="15">
        <v>6.4497020785219128E-3</v>
      </c>
      <c r="BH50" s="15">
        <v>1.2940425305261506E-2</v>
      </c>
      <c r="BJ50" s="7" t="s">
        <v>89</v>
      </c>
      <c r="BK50" s="15">
        <v>5.8516196447230932E-3</v>
      </c>
      <c r="BL50" s="15">
        <v>-5.7380355276906957E-5</v>
      </c>
      <c r="BM50" s="15">
        <v>-7.4864122428968186E-4</v>
      </c>
    </row>
    <row r="51" spans="1:65" x14ac:dyDescent="0.2">
      <c r="A51" s="10" t="s">
        <v>47</v>
      </c>
      <c r="B51" s="12">
        <v>6.7763964279460687E-2</v>
      </c>
      <c r="C51" s="12">
        <v>0.1068832834544677</v>
      </c>
      <c r="D51" s="12">
        <v>5.6140350877192977E-2</v>
      </c>
      <c r="E51" s="12">
        <v>9.9009900990099015E-2</v>
      </c>
      <c r="F51" s="12">
        <v>8.1745374206020432E-2</v>
      </c>
      <c r="G51" s="12">
        <v>2.352297592997812E-2</v>
      </c>
      <c r="H51" s="12">
        <v>3.079291762894534E-2</v>
      </c>
      <c r="I51" s="12">
        <v>8.4012539184952981E-2</v>
      </c>
      <c r="J51" s="13">
        <v>7.2312000000000001E-2</v>
      </c>
      <c r="L51" s="7" t="s">
        <v>47</v>
      </c>
      <c r="M51" s="11">
        <f t="shared" si="1"/>
        <v>-4.5480357205393146E-3</v>
      </c>
      <c r="N51" s="11">
        <f t="shared" si="2"/>
        <v>3.4571283454467694E-2</v>
      </c>
      <c r="O51" s="11">
        <f t="shared" si="3"/>
        <v>-1.6171649122807025E-2</v>
      </c>
      <c r="P51" s="11">
        <f t="shared" si="4"/>
        <v>2.6697900990099013E-2</v>
      </c>
      <c r="Q51" s="11">
        <f t="shared" si="5"/>
        <v>9.4333742060204312E-3</v>
      </c>
      <c r="R51" s="11">
        <f t="shared" si="6"/>
        <v>-4.8789024070021877E-2</v>
      </c>
      <c r="S51" s="11">
        <f t="shared" si="7"/>
        <v>-4.1519082371054658E-2</v>
      </c>
      <c r="T51" s="11">
        <f t="shared" si="8"/>
        <v>1.1700539184952979E-2</v>
      </c>
      <c r="V51" s="3">
        <v>48</v>
      </c>
      <c r="W51" s="4" t="s">
        <v>47</v>
      </c>
      <c r="X51" s="5">
        <v>7.2312000000000001E-2</v>
      </c>
      <c r="Y51" s="5">
        <v>0.25901000000000002</v>
      </c>
      <c r="AA51" s="7" t="s">
        <v>37</v>
      </c>
      <c r="AB51" s="15">
        <v>0.10453510768692</v>
      </c>
      <c r="AC51" s="15">
        <v>-3.4818923130800067E-3</v>
      </c>
      <c r="AD51" s="15">
        <v>-1.1217075200798964E-2</v>
      </c>
      <c r="AF51" s="7" t="s">
        <v>2</v>
      </c>
      <c r="AG51" s="15">
        <v>0.17315091919623771</v>
      </c>
      <c r="AH51" s="15">
        <v>4.3389191962377172E-3</v>
      </c>
      <c r="AI51" s="15">
        <v>1.1582960787617873E-2</v>
      </c>
      <c r="AK51" s="7" t="s">
        <v>63</v>
      </c>
      <c r="AL51" s="15">
        <v>0.11228070175438599</v>
      </c>
      <c r="AM51" s="15">
        <v>-2.4329824561400426E-4</v>
      </c>
      <c r="AN51" s="15">
        <v>-7.6988730266631727E-4</v>
      </c>
      <c r="AP51" s="7" t="s">
        <v>49</v>
      </c>
      <c r="AQ51" s="15">
        <v>0.35643564356435642</v>
      </c>
      <c r="AR51" s="15">
        <v>-1.1183564356435638E-3</v>
      </c>
      <c r="AS51" s="15">
        <v>-2.333350933551079E-3</v>
      </c>
      <c r="AU51" s="7" t="s">
        <v>36</v>
      </c>
      <c r="AV51" s="15">
        <v>0.11543772438552891</v>
      </c>
      <c r="AW51" s="15">
        <v>3.6147243855289002E-3</v>
      </c>
      <c r="AX51" s="15">
        <v>1.1469598915870184E-2</v>
      </c>
      <c r="AZ51" s="7" t="s">
        <v>4</v>
      </c>
      <c r="BA51" s="15">
        <v>0.16247264770240699</v>
      </c>
      <c r="BB51" s="15">
        <v>3.576647702406982E-3</v>
      </c>
      <c r="BC51" s="15">
        <v>9.7832475878841599E-3</v>
      </c>
      <c r="BE51" s="7" t="s">
        <v>0</v>
      </c>
      <c r="BF51" s="15">
        <v>6.1585835257890681E-3</v>
      </c>
      <c r="BG51" s="15">
        <v>9.0058352578906847E-4</v>
      </c>
      <c r="BH51" s="15">
        <v>1.2452070208908086E-2</v>
      </c>
      <c r="BJ51" s="7" t="s">
        <v>10</v>
      </c>
      <c r="BK51" s="15">
        <v>0.4670846394984326</v>
      </c>
      <c r="BL51" s="15">
        <v>-1.4913605015673959E-3</v>
      </c>
      <c r="BM51" s="15">
        <v>-2.988554661834693E-3</v>
      </c>
    </row>
    <row r="52" spans="1:65" x14ac:dyDescent="0.2">
      <c r="A52" s="10" t="s">
        <v>48</v>
      </c>
      <c r="B52" s="12">
        <v>1.768516897215899E-2</v>
      </c>
      <c r="C52" s="12">
        <v>6.3274903805044885E-2</v>
      </c>
      <c r="D52" s="12">
        <v>2.456140350877193E-2</v>
      </c>
      <c r="E52" s="12">
        <v>4.9504950495049507E-2</v>
      </c>
      <c r="F52" s="12">
        <v>2.1264843965755311E-2</v>
      </c>
      <c r="G52" s="12">
        <v>0</v>
      </c>
      <c r="H52" s="12">
        <v>0</v>
      </c>
      <c r="I52" s="12">
        <v>3.2392894461859979E-2</v>
      </c>
      <c r="J52" s="13">
        <v>2.4688000000000002E-2</v>
      </c>
      <c r="L52" s="7" t="s">
        <v>48</v>
      </c>
      <c r="M52" s="11">
        <f t="shared" si="1"/>
        <v>-7.0028310278410118E-3</v>
      </c>
      <c r="N52" s="11">
        <f t="shared" si="2"/>
        <v>3.8586903805044884E-2</v>
      </c>
      <c r="O52" s="11">
        <f t="shared" si="3"/>
        <v>-1.2659649122807176E-4</v>
      </c>
      <c r="P52" s="11">
        <f t="shared" si="4"/>
        <v>2.4816950495049506E-2</v>
      </c>
      <c r="Q52" s="11">
        <f t="shared" si="5"/>
        <v>-3.4231560342446905E-3</v>
      </c>
      <c r="R52" s="11">
        <f t="shared" si="6"/>
        <v>-2.4688000000000002E-2</v>
      </c>
      <c r="S52" s="11">
        <f t="shared" si="7"/>
        <v>-2.4688000000000002E-2</v>
      </c>
      <c r="T52" s="11">
        <f t="shared" si="8"/>
        <v>7.7048944618599777E-3</v>
      </c>
      <c r="V52" s="3">
        <v>49</v>
      </c>
      <c r="W52" s="4" t="s">
        <v>48</v>
      </c>
      <c r="X52" s="5">
        <v>2.4688000000000002E-2</v>
      </c>
      <c r="Y52" s="5">
        <v>0.15517700000000001</v>
      </c>
      <c r="AA52" s="7" t="s">
        <v>79</v>
      </c>
      <c r="AB52" s="15">
        <v>1.400805463141306E-2</v>
      </c>
      <c r="AC52" s="15">
        <v>-1.4659453685869402E-3</v>
      </c>
      <c r="AD52" s="15">
        <v>-1.1876638515340071E-2</v>
      </c>
      <c r="AF52" s="7" t="s">
        <v>6</v>
      </c>
      <c r="AG52" s="15">
        <v>0.17015818725951259</v>
      </c>
      <c r="AH52" s="15">
        <v>3.2491872595125926E-3</v>
      </c>
      <c r="AI52" s="15">
        <v>8.7132003397994984E-3</v>
      </c>
      <c r="AK52" s="7" t="s">
        <v>48</v>
      </c>
      <c r="AL52" s="15">
        <v>2.456140350877193E-2</v>
      </c>
      <c r="AM52" s="15">
        <v>-1.2659649122807176E-4</v>
      </c>
      <c r="AN52" s="15">
        <v>-8.1581994256927097E-4</v>
      </c>
      <c r="AP52" s="7" t="s">
        <v>45</v>
      </c>
      <c r="AQ52" s="15">
        <v>0.11881188118811881</v>
      </c>
      <c r="AR52" s="15">
        <v>-7.9341188118811912E-3</v>
      </c>
      <c r="AS52" s="15">
        <v>-2.3847882042462635E-2</v>
      </c>
      <c r="AU52" s="7" t="s">
        <v>55</v>
      </c>
      <c r="AV52" s="15">
        <v>2.9549848108257389E-2</v>
      </c>
      <c r="AW52" s="15">
        <v>1.806848108257389E-3</v>
      </c>
      <c r="AX52" s="15">
        <v>1.1001267098498472E-2</v>
      </c>
      <c r="AZ52" s="7" t="s">
        <v>33</v>
      </c>
      <c r="BA52" s="15">
        <v>0.12472647702407</v>
      </c>
      <c r="BB52" s="15">
        <v>2.737477024069998E-3</v>
      </c>
      <c r="BC52" s="15">
        <v>8.3643016981431798E-3</v>
      </c>
      <c r="BE52" s="7" t="s">
        <v>8</v>
      </c>
      <c r="BF52" s="15">
        <v>1.38568129330254E-2</v>
      </c>
      <c r="BG52" s="15">
        <v>1.337812933025399E-3</v>
      </c>
      <c r="BH52" s="15">
        <v>1.2031773837803751E-2</v>
      </c>
      <c r="BJ52" s="7" t="s">
        <v>18</v>
      </c>
      <c r="BK52" s="15">
        <v>0.11243469174503661</v>
      </c>
      <c r="BL52" s="15">
        <v>-9.9130825496339392E-4</v>
      </c>
      <c r="BM52" s="15">
        <v>-3.1259621878191417E-3</v>
      </c>
    </row>
    <row r="53" spans="1:65" x14ac:dyDescent="0.2">
      <c r="A53" s="10" t="s">
        <v>49</v>
      </c>
      <c r="B53" s="12">
        <v>0.34617405007879531</v>
      </c>
      <c r="C53" s="12">
        <v>0.30226592560923471</v>
      </c>
      <c r="D53" s="12">
        <v>0.3473684210526316</v>
      </c>
      <c r="E53" s="12">
        <v>0.35643564356435642</v>
      </c>
      <c r="F53" s="12">
        <v>0.30903065451532719</v>
      </c>
      <c r="G53" s="12">
        <v>0.62417943107221008</v>
      </c>
      <c r="H53" s="12">
        <v>0.48960739030023093</v>
      </c>
      <c r="I53" s="12">
        <v>0.29780564263322878</v>
      </c>
      <c r="J53" s="13">
        <v>0.35755399999999998</v>
      </c>
      <c r="L53" s="7" t="s">
        <v>49</v>
      </c>
      <c r="M53" s="11">
        <f t="shared" si="1"/>
        <v>-1.1379949921204668E-2</v>
      </c>
      <c r="N53" s="11">
        <f t="shared" si="2"/>
        <v>-5.5288074390765274E-2</v>
      </c>
      <c r="O53" s="11">
        <f t="shared" si="3"/>
        <v>-1.0185578947368379E-2</v>
      </c>
      <c r="P53" s="11">
        <f t="shared" si="4"/>
        <v>-1.1183564356435638E-3</v>
      </c>
      <c r="Q53" s="11">
        <f t="shared" si="5"/>
        <v>-4.8523345484672797E-2</v>
      </c>
      <c r="R53" s="11">
        <f t="shared" si="6"/>
        <v>0.2666254310722101</v>
      </c>
      <c r="S53" s="11">
        <f t="shared" si="7"/>
        <v>0.13205339030023094</v>
      </c>
      <c r="T53" s="11">
        <f t="shared" si="8"/>
        <v>-5.9748357366771199E-2</v>
      </c>
      <c r="V53" s="3">
        <v>50</v>
      </c>
      <c r="W53" s="4" t="s">
        <v>49</v>
      </c>
      <c r="X53" s="5">
        <v>0.35755399999999998</v>
      </c>
      <c r="Y53" s="5">
        <v>0.479292</v>
      </c>
      <c r="AA53" s="7" t="s">
        <v>86</v>
      </c>
      <c r="AB53" s="15">
        <v>0.1096130274908072</v>
      </c>
      <c r="AC53" s="15">
        <v>-4.0129725091928026E-3</v>
      </c>
      <c r="AD53" s="15">
        <v>-1.2644659963111251E-2</v>
      </c>
      <c r="AF53" s="7" t="s">
        <v>28</v>
      </c>
      <c r="AG53" s="15">
        <v>0.4348011970927747</v>
      </c>
      <c r="AH53" s="15">
        <v>3.8331970927746872E-3</v>
      </c>
      <c r="AI53" s="15">
        <v>7.7403298159513419E-3</v>
      </c>
      <c r="AK53" s="7" t="s">
        <v>22</v>
      </c>
      <c r="AL53" s="15">
        <v>0.1157894736842105</v>
      </c>
      <c r="AM53" s="15">
        <v>-1.2915263157895068E-3</v>
      </c>
      <c r="AN53" s="15">
        <v>-4.0168768083026418E-3</v>
      </c>
      <c r="AP53" s="7" t="s">
        <v>92</v>
      </c>
      <c r="AQ53" s="15">
        <v>9.9009900990099011E-3</v>
      </c>
      <c r="AR53" s="15">
        <v>-3.0690099009900995E-3</v>
      </c>
      <c r="AS53" s="15">
        <v>-2.7123854606268778E-2</v>
      </c>
      <c r="AU53" s="7" t="s">
        <v>5</v>
      </c>
      <c r="AV53" s="15">
        <v>0.18033692350179509</v>
      </c>
      <c r="AW53" s="15">
        <v>3.1619235017950886E-3</v>
      </c>
      <c r="AX53" s="15">
        <v>8.2810586544527845E-3</v>
      </c>
      <c r="AZ53" s="7" t="s">
        <v>66</v>
      </c>
      <c r="BA53" s="15">
        <v>0.1170678336980306</v>
      </c>
      <c r="BB53" s="15">
        <v>1.9398336980306075E-3</v>
      </c>
      <c r="BC53" s="15">
        <v>6.077458834314293E-3</v>
      </c>
      <c r="BE53" s="7" t="s">
        <v>98</v>
      </c>
      <c r="BF53" s="15">
        <v>0.35565819861431869</v>
      </c>
      <c r="BG53" s="15">
        <v>3.262198614318701E-3</v>
      </c>
      <c r="BH53" s="15">
        <v>6.8285547126481771E-3</v>
      </c>
      <c r="BJ53" s="7" t="s">
        <v>15</v>
      </c>
      <c r="BK53" s="15">
        <v>0.3830721003134796</v>
      </c>
      <c r="BL53" s="15">
        <v>-1.5738996865203858E-3</v>
      </c>
      <c r="BM53" s="15">
        <v>-3.2349887909340256E-3</v>
      </c>
    </row>
    <row r="54" spans="1:65" x14ac:dyDescent="0.2">
      <c r="A54" s="10" t="s">
        <v>50</v>
      </c>
      <c r="B54" s="12">
        <v>0.33023988793556303</v>
      </c>
      <c r="C54" s="12">
        <v>0.60795211628901236</v>
      </c>
      <c r="D54" s="12">
        <v>0.38245614035087722</v>
      </c>
      <c r="E54" s="12">
        <v>0.53465346534653468</v>
      </c>
      <c r="F54" s="12">
        <v>0.43330571665285827</v>
      </c>
      <c r="G54" s="12">
        <v>4.7045951859956227E-2</v>
      </c>
      <c r="H54" s="12">
        <v>0.25789068514241731</v>
      </c>
      <c r="I54" s="12">
        <v>0.47293625914315568</v>
      </c>
      <c r="J54" s="13">
        <v>0.38679999999999998</v>
      </c>
      <c r="L54" s="7" t="s">
        <v>50</v>
      </c>
      <c r="M54" s="11">
        <f t="shared" si="1"/>
        <v>-5.6560112064436951E-2</v>
      </c>
      <c r="N54" s="11">
        <f t="shared" si="2"/>
        <v>0.22115211628901238</v>
      </c>
      <c r="O54" s="11">
        <f t="shared" si="3"/>
        <v>-4.343859649122761E-3</v>
      </c>
      <c r="P54" s="11">
        <f t="shared" si="4"/>
        <v>0.14785346534653471</v>
      </c>
      <c r="Q54" s="11">
        <f t="shared" si="5"/>
        <v>4.6505716652858298E-2</v>
      </c>
      <c r="R54" s="11">
        <f t="shared" si="6"/>
        <v>-0.33975404814004373</v>
      </c>
      <c r="S54" s="11">
        <f t="shared" si="7"/>
        <v>-0.12890931485758267</v>
      </c>
      <c r="T54" s="11">
        <f t="shared" si="8"/>
        <v>8.6136259143155702E-2</v>
      </c>
      <c r="V54" s="3">
        <v>51</v>
      </c>
      <c r="W54" s="4" t="s">
        <v>50</v>
      </c>
      <c r="X54" s="5">
        <v>0.38679999999999998</v>
      </c>
      <c r="Y54" s="5">
        <v>0.48702899999999999</v>
      </c>
      <c r="AA54" s="7" t="s">
        <v>21</v>
      </c>
      <c r="AB54" s="15">
        <v>5.3755909648047627E-2</v>
      </c>
      <c r="AC54" s="15">
        <v>-3.0320903519523712E-3</v>
      </c>
      <c r="AD54" s="15">
        <v>-1.3100808198789209E-2</v>
      </c>
      <c r="AF54" s="7" t="s">
        <v>33</v>
      </c>
      <c r="AG54" s="15">
        <v>0.12441214194100041</v>
      </c>
      <c r="AH54" s="15">
        <v>2.4231419410004063E-3</v>
      </c>
      <c r="AI54" s="15">
        <v>7.4038576666546679E-3</v>
      </c>
      <c r="AK54" s="7" t="s">
        <v>26</v>
      </c>
      <c r="AL54" s="15">
        <v>8.771929824561403E-2</v>
      </c>
      <c r="AM54" s="15">
        <v>-1.5187017543859677E-3</v>
      </c>
      <c r="AN54" s="15">
        <v>-5.3270024180921017E-3</v>
      </c>
      <c r="AP54" s="7" t="s">
        <v>37</v>
      </c>
      <c r="AQ54" s="15">
        <v>9.9009900990099015E-2</v>
      </c>
      <c r="AR54" s="15">
        <v>-9.0070990099009873E-3</v>
      </c>
      <c r="AS54" s="15">
        <v>-2.9016781063435415E-2</v>
      </c>
      <c r="AU54" s="7" t="s">
        <v>23</v>
      </c>
      <c r="AV54" s="15">
        <v>9.1135045567522777E-3</v>
      </c>
      <c r="AW54" s="15">
        <v>7.0050455675227732E-4</v>
      </c>
      <c r="AX54" s="15">
        <v>7.6693660552264922E-3</v>
      </c>
      <c r="AZ54" s="7" t="s">
        <v>90</v>
      </c>
      <c r="BA54" s="15">
        <v>0.26367614879649892</v>
      </c>
      <c r="BB54" s="15">
        <v>2.471148796498901E-3</v>
      </c>
      <c r="BC54" s="15">
        <v>5.6251708312252185E-3</v>
      </c>
      <c r="BE54" s="7" t="s">
        <v>2</v>
      </c>
      <c r="BF54" s="15">
        <v>0.17013086989992299</v>
      </c>
      <c r="BG54" s="15">
        <v>1.3188698999229975E-3</v>
      </c>
      <c r="BH54" s="15">
        <v>3.5207888517545549E-3</v>
      </c>
      <c r="BJ54" s="7" t="s">
        <v>8</v>
      </c>
      <c r="BK54" s="15">
        <v>1.2121212121212119E-2</v>
      </c>
      <c r="BL54" s="15">
        <v>-3.9778787878788115E-4</v>
      </c>
      <c r="BM54" s="15">
        <v>-3.5775508479888585E-3</v>
      </c>
    </row>
    <row r="55" spans="1:65" x14ac:dyDescent="0.2">
      <c r="A55" s="10" t="s">
        <v>51</v>
      </c>
      <c r="B55" s="12">
        <v>0.17720189108737519</v>
      </c>
      <c r="C55" s="12">
        <v>0.1705857203933305</v>
      </c>
      <c r="D55" s="12">
        <v>0.15087719298245611</v>
      </c>
      <c r="E55" s="12">
        <v>0</v>
      </c>
      <c r="F55" s="12">
        <v>0.12869373101353221</v>
      </c>
      <c r="G55" s="12">
        <v>0.22702407002188191</v>
      </c>
      <c r="H55" s="12">
        <v>0.21862971516551191</v>
      </c>
      <c r="I55" s="12">
        <v>0.2016718913270637</v>
      </c>
      <c r="J55" s="13">
        <v>0.179478</v>
      </c>
      <c r="L55" s="7" t="s">
        <v>51</v>
      </c>
      <c r="M55" s="11">
        <f t="shared" si="1"/>
        <v>-2.276108912624808E-3</v>
      </c>
      <c r="N55" s="11">
        <f t="shared" si="2"/>
        <v>-8.8922796066694954E-3</v>
      </c>
      <c r="O55" s="11">
        <f t="shared" si="3"/>
        <v>-2.8600807017543889E-2</v>
      </c>
      <c r="P55" s="11">
        <f t="shared" si="4"/>
        <v>-0.179478</v>
      </c>
      <c r="Q55" s="11">
        <f t="shared" si="5"/>
        <v>-5.078426898646779E-2</v>
      </c>
      <c r="R55" s="11">
        <f t="shared" si="6"/>
        <v>4.7546070021881909E-2</v>
      </c>
      <c r="S55" s="11">
        <f t="shared" si="7"/>
        <v>3.9151715165511913E-2</v>
      </c>
      <c r="T55" s="11">
        <f t="shared" si="8"/>
        <v>2.2193891327063703E-2</v>
      </c>
      <c r="V55" s="3">
        <v>52</v>
      </c>
      <c r="W55" s="4" t="s">
        <v>51</v>
      </c>
      <c r="X55" s="5">
        <v>0.179478</v>
      </c>
      <c r="Y55" s="5">
        <v>0.38376199999999999</v>
      </c>
      <c r="AA55" s="7" t="s">
        <v>3</v>
      </c>
      <c r="AB55" s="15">
        <v>0.15934162143232361</v>
      </c>
      <c r="AC55" s="15">
        <v>-4.9633785676763964E-3</v>
      </c>
      <c r="AD55" s="15">
        <v>-1.33942281235111E-2</v>
      </c>
      <c r="AF55" s="7" t="s">
        <v>53</v>
      </c>
      <c r="AG55" s="15">
        <v>3.8477982043608382E-2</v>
      </c>
      <c r="AH55" s="15">
        <v>1.1199820436083793E-3</v>
      </c>
      <c r="AI55" s="15">
        <v>5.9057700488730309E-3</v>
      </c>
      <c r="AK55" s="7" t="s">
        <v>50</v>
      </c>
      <c r="AL55" s="15">
        <v>0.38245614035087722</v>
      </c>
      <c r="AM55" s="15">
        <v>-4.343859649122761E-3</v>
      </c>
      <c r="AN55" s="15">
        <v>-8.9190985529049825E-3</v>
      </c>
      <c r="AP55" s="7" t="s">
        <v>32</v>
      </c>
      <c r="AQ55" s="15">
        <v>0.1089108910891089</v>
      </c>
      <c r="AR55" s="15">
        <v>-9.6231089108911039E-3</v>
      </c>
      <c r="AS55" s="15">
        <v>-2.9770141442584476E-2</v>
      </c>
      <c r="AU55" s="7" t="s">
        <v>37</v>
      </c>
      <c r="AV55" s="15">
        <v>0.10991438829052751</v>
      </c>
      <c r="AW55" s="15">
        <v>1.8973882905275047E-3</v>
      </c>
      <c r="AX55" s="15">
        <v>6.1125230840743039E-3</v>
      </c>
      <c r="AZ55" s="7" t="s">
        <v>17</v>
      </c>
      <c r="BA55" s="15">
        <v>0.11761487964989061</v>
      </c>
      <c r="BB55" s="15">
        <v>1.5848796498906109E-3</v>
      </c>
      <c r="BC55" s="15">
        <v>4.9485889982814786E-3</v>
      </c>
      <c r="BE55" s="7" t="s">
        <v>78</v>
      </c>
      <c r="BF55" s="15">
        <v>0.15627405696689761</v>
      </c>
      <c r="BG55" s="15">
        <v>8.8305696689761071E-4</v>
      </c>
      <c r="BH55" s="15">
        <v>2.4374581598450139E-3</v>
      </c>
      <c r="BJ55" s="7" t="s">
        <v>20</v>
      </c>
      <c r="BK55" s="15">
        <v>0.11640543364681299</v>
      </c>
      <c r="BL55" s="15">
        <v>-1.3265663531870087E-3</v>
      </c>
      <c r="BM55" s="15">
        <v>-4.1159493302399593E-3</v>
      </c>
    </row>
    <row r="56" spans="1:65" x14ac:dyDescent="0.2">
      <c r="A56" s="10" t="s">
        <v>52</v>
      </c>
      <c r="B56" s="12">
        <v>3.6070740675888627E-2</v>
      </c>
      <c r="C56" s="12">
        <v>5.0021376656690902E-2</v>
      </c>
      <c r="D56" s="12">
        <v>9.8245614035087719E-2</v>
      </c>
      <c r="E56" s="12">
        <v>0</v>
      </c>
      <c r="F56" s="12">
        <v>3.3968516984258491E-2</v>
      </c>
      <c r="G56" s="12">
        <v>0.18490153172866519</v>
      </c>
      <c r="H56" s="12">
        <v>0.36643571978444961</v>
      </c>
      <c r="I56" s="12">
        <v>4.5350052246603968E-2</v>
      </c>
      <c r="J56" s="13">
        <v>7.5367000000000003E-2</v>
      </c>
      <c r="L56" s="7" t="s">
        <v>52</v>
      </c>
      <c r="M56" s="11">
        <f t="shared" si="1"/>
        <v>-3.9296259324111377E-2</v>
      </c>
      <c r="N56" s="11">
        <f t="shared" si="2"/>
        <v>-2.5345623343309101E-2</v>
      </c>
      <c r="O56" s="11">
        <f t="shared" si="3"/>
        <v>2.2878614035087716E-2</v>
      </c>
      <c r="P56" s="11">
        <f t="shared" si="4"/>
        <v>-7.5367000000000003E-2</v>
      </c>
      <c r="Q56" s="11">
        <f t="shared" si="5"/>
        <v>-4.1398483015741512E-2</v>
      </c>
      <c r="R56" s="11">
        <f t="shared" si="6"/>
        <v>0.10953453172866519</v>
      </c>
      <c r="S56" s="11">
        <f t="shared" si="7"/>
        <v>0.29106871978444959</v>
      </c>
      <c r="T56" s="11">
        <f t="shared" si="8"/>
        <v>-3.0016947753396035E-2</v>
      </c>
      <c r="V56" s="3">
        <v>53</v>
      </c>
      <c r="W56" s="4" t="s">
        <v>52</v>
      </c>
      <c r="X56" s="5">
        <v>7.5367000000000003E-2</v>
      </c>
      <c r="Y56" s="5">
        <v>0.26398899999999997</v>
      </c>
      <c r="AA56" s="7" t="s">
        <v>30</v>
      </c>
      <c r="AB56" s="15">
        <v>0.1262475923656102</v>
      </c>
      <c r="AC56" s="15">
        <v>-4.6054076343897965E-3</v>
      </c>
      <c r="AD56" s="15">
        <v>-1.3655848617011209E-2</v>
      </c>
      <c r="AF56" s="7" t="s">
        <v>17</v>
      </c>
      <c r="AG56" s="15">
        <v>0.11714407866609659</v>
      </c>
      <c r="AH56" s="15">
        <v>1.114078666096599E-3</v>
      </c>
      <c r="AI56" s="15">
        <v>3.4785716572524939E-3</v>
      </c>
      <c r="AK56" s="7" t="s">
        <v>109</v>
      </c>
      <c r="AL56" s="15">
        <v>2.456140350877193E-2</v>
      </c>
      <c r="AM56" s="15">
        <v>-1.7295964912280685E-3</v>
      </c>
      <c r="AN56" s="15">
        <v>-1.0809775386886924E-2</v>
      </c>
      <c r="AP56" s="7" t="s">
        <v>31</v>
      </c>
      <c r="AQ56" s="15">
        <v>0.1089108910891089</v>
      </c>
      <c r="AR56" s="15">
        <v>-1.1426108910891103E-2</v>
      </c>
      <c r="AS56" s="15">
        <v>-3.5118034044716522E-2</v>
      </c>
      <c r="AU56" s="7" t="s">
        <v>44</v>
      </c>
      <c r="AV56" s="15">
        <v>0.25766362883181437</v>
      </c>
      <c r="AW56" s="15">
        <v>2.0176288318143887E-3</v>
      </c>
      <c r="AX56" s="15">
        <v>4.6250961793858555E-3</v>
      </c>
      <c r="AZ56" s="7" t="s">
        <v>38</v>
      </c>
      <c r="BA56" s="15">
        <v>0.10339168490153169</v>
      </c>
      <c r="BB56" s="15">
        <v>8.8268490153169121E-4</v>
      </c>
      <c r="BC56" s="15">
        <v>2.9100397645148136E-3</v>
      </c>
      <c r="BE56" s="7" t="s">
        <v>4</v>
      </c>
      <c r="BF56" s="15">
        <v>0.15858352578906851</v>
      </c>
      <c r="BG56" s="15">
        <v>-3.1247421093150152E-4</v>
      </c>
      <c r="BH56" s="15">
        <v>-8.5471447699876505E-4</v>
      </c>
      <c r="BJ56" s="7" t="s">
        <v>6</v>
      </c>
      <c r="BK56" s="15">
        <v>0.16509926854754439</v>
      </c>
      <c r="BL56" s="15">
        <v>-1.8097314524556096E-3</v>
      </c>
      <c r="BM56" s="15">
        <v>-4.8530759993339022E-3</v>
      </c>
    </row>
    <row r="57" spans="1:65" x14ac:dyDescent="0.2">
      <c r="A57" s="10" t="s">
        <v>53</v>
      </c>
      <c r="B57" s="12">
        <v>1.786026965505165E-2</v>
      </c>
      <c r="C57" s="12">
        <v>3.8477982043608382E-2</v>
      </c>
      <c r="D57" s="12">
        <v>3.8596491228070177E-2</v>
      </c>
      <c r="E57" s="12">
        <v>0</v>
      </c>
      <c r="F57" s="12">
        <v>2.3474178403755871E-2</v>
      </c>
      <c r="G57" s="12">
        <v>0.1591903719912473</v>
      </c>
      <c r="H57" s="12">
        <v>1.3086989992301771E-2</v>
      </c>
      <c r="I57" s="12">
        <v>3.1347962382445138E-2</v>
      </c>
      <c r="J57" s="13">
        <v>3.7358000000000002E-2</v>
      </c>
      <c r="L57" s="7" t="s">
        <v>53</v>
      </c>
      <c r="M57" s="11">
        <f t="shared" si="1"/>
        <v>-1.9497730344948352E-2</v>
      </c>
      <c r="N57" s="11">
        <f t="shared" si="2"/>
        <v>1.1199820436083793E-3</v>
      </c>
      <c r="O57" s="11">
        <f t="shared" si="3"/>
        <v>1.2384912280701751E-3</v>
      </c>
      <c r="P57" s="11">
        <f t="shared" si="4"/>
        <v>-3.7358000000000002E-2</v>
      </c>
      <c r="Q57" s="11">
        <f t="shared" si="5"/>
        <v>-1.3883821596244132E-2</v>
      </c>
      <c r="R57" s="11">
        <f t="shared" si="6"/>
        <v>0.1218323719912473</v>
      </c>
      <c r="S57" s="11">
        <f t="shared" si="7"/>
        <v>-2.4271010007698234E-2</v>
      </c>
      <c r="T57" s="11">
        <f t="shared" si="8"/>
        <v>-6.0100376175548642E-3</v>
      </c>
      <c r="V57" s="3">
        <v>54</v>
      </c>
      <c r="W57" s="4" t="s">
        <v>53</v>
      </c>
      <c r="X57" s="5">
        <v>3.7358000000000002E-2</v>
      </c>
      <c r="Y57" s="5">
        <v>0.18964200000000001</v>
      </c>
      <c r="AA57" s="7" t="s">
        <v>39</v>
      </c>
      <c r="AB57" s="15">
        <v>7.9320609350376464E-2</v>
      </c>
      <c r="AC57" s="15">
        <v>-3.9083906496235332E-3</v>
      </c>
      <c r="AD57" s="15">
        <v>-1.4148788711146427E-2</v>
      </c>
      <c r="AF57" s="7" t="s">
        <v>98</v>
      </c>
      <c r="AG57" s="15">
        <v>0.35314236853356129</v>
      </c>
      <c r="AH57" s="15">
        <v>7.463685335613035E-4</v>
      </c>
      <c r="AI57" s="15">
        <v>1.5623262007567124E-3</v>
      </c>
      <c r="AK57" s="7" t="s">
        <v>81</v>
      </c>
      <c r="AL57" s="15">
        <v>0.10877192982456139</v>
      </c>
      <c r="AM57" s="15">
        <v>-3.5020701754386041E-3</v>
      </c>
      <c r="AN57" s="15">
        <v>-1.1092645411273614E-2</v>
      </c>
      <c r="AP57" s="7" t="s">
        <v>102</v>
      </c>
      <c r="AQ57" s="15">
        <v>9.9009900990099011E-3</v>
      </c>
      <c r="AR57" s="15">
        <v>-4.4710099009900982E-3</v>
      </c>
      <c r="AS57" s="15">
        <v>-3.7564251455517825E-2</v>
      </c>
      <c r="AU57" s="7" t="s">
        <v>89</v>
      </c>
      <c r="AV57" s="15">
        <v>6.0756697045015193E-3</v>
      </c>
      <c r="AW57" s="15">
        <v>1.6666970450151912E-4</v>
      </c>
      <c r="AX57" s="15">
        <v>2.1745388474482571E-3</v>
      </c>
      <c r="AZ57" s="7" t="s">
        <v>89</v>
      </c>
      <c r="BA57" s="15">
        <v>6.0175054704595188E-3</v>
      </c>
      <c r="BB57" s="15">
        <v>1.0850547045951862E-4</v>
      </c>
      <c r="BC57" s="15">
        <v>1.4156703606126688E-3</v>
      </c>
      <c r="BE57" s="7" t="s">
        <v>82</v>
      </c>
      <c r="BF57" s="15">
        <v>3.0792917628945341E-3</v>
      </c>
      <c r="BG57" s="15">
        <v>-1.2570823710546589E-4</v>
      </c>
      <c r="BH57" s="15">
        <v>-2.2240191975915272E-3</v>
      </c>
      <c r="BJ57" s="7" t="s">
        <v>26</v>
      </c>
      <c r="BK57" s="15">
        <v>8.7774294670846395E-2</v>
      </c>
      <c r="BL57" s="15">
        <v>-1.4637053291536029E-3</v>
      </c>
      <c r="BM57" s="15">
        <v>-5.1340968068664932E-3</v>
      </c>
    </row>
    <row r="58" spans="1:65" x14ac:dyDescent="0.2">
      <c r="A58" s="10" t="s">
        <v>54</v>
      </c>
      <c r="B58" s="12">
        <v>5.2355104184906319E-2</v>
      </c>
      <c r="C58" s="12">
        <v>7.9521162890123981E-2</v>
      </c>
      <c r="D58" s="12">
        <v>9.8245614035087719E-2</v>
      </c>
      <c r="E58" s="12">
        <v>6.9306930693069313E-2</v>
      </c>
      <c r="F58" s="12">
        <v>0.1151615575807788</v>
      </c>
      <c r="G58" s="12">
        <v>0.16794310722100661</v>
      </c>
      <c r="H58" s="12">
        <v>6.9284064665127024E-3</v>
      </c>
      <c r="I58" s="12">
        <v>0.14002089864158829</v>
      </c>
      <c r="J58" s="13">
        <v>9.6298999999999996E-2</v>
      </c>
      <c r="L58" s="7" t="s">
        <v>54</v>
      </c>
      <c r="M58" s="11">
        <f t="shared" si="1"/>
        <v>-4.3943895815093677E-2</v>
      </c>
      <c r="N58" s="11">
        <f t="shared" si="2"/>
        <v>-1.6777837109876015E-2</v>
      </c>
      <c r="O58" s="11">
        <f t="shared" si="3"/>
        <v>1.9466140350877237E-3</v>
      </c>
      <c r="P58" s="11">
        <f t="shared" si="4"/>
        <v>-2.6992069306930683E-2</v>
      </c>
      <c r="Q58" s="11">
        <f t="shared" si="5"/>
        <v>1.8862557580778802E-2</v>
      </c>
      <c r="R58" s="11">
        <f t="shared" si="6"/>
        <v>7.1644107221006614E-2</v>
      </c>
      <c r="S58" s="11">
        <f t="shared" si="7"/>
        <v>-8.9370593533487294E-2</v>
      </c>
      <c r="T58" s="11">
        <f t="shared" si="8"/>
        <v>4.3721898641588292E-2</v>
      </c>
      <c r="V58" s="3">
        <v>55</v>
      </c>
      <c r="W58" s="4" t="s">
        <v>54</v>
      </c>
      <c r="X58" s="5">
        <v>9.6298999999999996E-2</v>
      </c>
      <c r="Y58" s="5">
        <v>0.29500900000000002</v>
      </c>
      <c r="AA58" s="7" t="s">
        <v>0</v>
      </c>
      <c r="AB58" s="15">
        <v>4.2024163894239189E-3</v>
      </c>
      <c r="AC58" s="15">
        <v>-1.0555836105760807E-3</v>
      </c>
      <c r="AD58" s="15">
        <v>-1.4595205057464752E-2</v>
      </c>
      <c r="AF58" s="7" t="s">
        <v>3</v>
      </c>
      <c r="AG58" s="15">
        <v>0.16460025651988031</v>
      </c>
      <c r="AH58" s="15">
        <v>2.9525651988029922E-4</v>
      </c>
      <c r="AI58" s="15">
        <v>7.9678249972419985E-4</v>
      </c>
      <c r="AK58" s="7" t="s">
        <v>79</v>
      </c>
      <c r="AL58" s="15">
        <v>1.4035087719298249E-2</v>
      </c>
      <c r="AM58" s="15">
        <v>-1.4389122807017506E-3</v>
      </c>
      <c r="AN58" s="15">
        <v>-1.1657624751494768E-2</v>
      </c>
      <c r="AP58" s="7" t="s">
        <v>114</v>
      </c>
      <c r="AQ58" s="15">
        <v>9.9009900990099011E-3</v>
      </c>
      <c r="AR58" s="15">
        <v>-4.4710099009900982E-3</v>
      </c>
      <c r="AS58" s="15">
        <v>-3.7564251455517825E-2</v>
      </c>
      <c r="AU58" s="7" t="s">
        <v>14</v>
      </c>
      <c r="AV58" s="15">
        <v>0.26291079812206569</v>
      </c>
      <c r="AW58" s="15">
        <v>7.5479812206569186E-4</v>
      </c>
      <c r="AX58" s="15">
        <v>1.7161601436632694E-3</v>
      </c>
      <c r="AZ58" s="7" t="s">
        <v>92</v>
      </c>
      <c r="BA58" s="15">
        <v>1.3129102844638949E-2</v>
      </c>
      <c r="BB58" s="15">
        <v>1.5910284463894857E-4</v>
      </c>
      <c r="BC58" s="15">
        <v>1.4061480948752835E-3</v>
      </c>
      <c r="BE58" s="7" t="s">
        <v>44</v>
      </c>
      <c r="BF58" s="15">
        <v>0.25250192455735182</v>
      </c>
      <c r="BG58" s="15">
        <v>-3.1440754426481643E-3</v>
      </c>
      <c r="BH58" s="15">
        <v>-7.2072975406562156E-3</v>
      </c>
      <c r="BJ58" s="7" t="s">
        <v>1</v>
      </c>
      <c r="BK58" s="15">
        <v>0.14838035527690699</v>
      </c>
      <c r="BL58" s="15">
        <v>-1.8526447230930165E-3</v>
      </c>
      <c r="BM58" s="15">
        <v>-5.1850076771105501E-3</v>
      </c>
    </row>
    <row r="59" spans="1:65" x14ac:dyDescent="0.2">
      <c r="A59" s="10" t="s">
        <v>55</v>
      </c>
      <c r="B59" s="12">
        <v>1.068114165645246E-2</v>
      </c>
      <c r="C59" s="12">
        <v>1.8383924754168449E-2</v>
      </c>
      <c r="D59" s="12">
        <v>3.8596491228070177E-2</v>
      </c>
      <c r="E59" s="12">
        <v>2.9702970297029702E-2</v>
      </c>
      <c r="F59" s="12">
        <v>2.9549848108257389E-2</v>
      </c>
      <c r="G59" s="12">
        <v>8.9715536105032828E-2</v>
      </c>
      <c r="H59" s="12">
        <v>0</v>
      </c>
      <c r="I59" s="12">
        <v>3.4482758620689648E-2</v>
      </c>
      <c r="J59" s="13">
        <v>2.7743E-2</v>
      </c>
      <c r="L59" s="7" t="s">
        <v>55</v>
      </c>
      <c r="M59" s="11">
        <f t="shared" si="1"/>
        <v>-1.706185834354754E-2</v>
      </c>
      <c r="N59" s="11">
        <f t="shared" si="2"/>
        <v>-9.359075245831551E-3</v>
      </c>
      <c r="O59" s="11">
        <f t="shared" si="3"/>
        <v>1.0853491228070177E-2</v>
      </c>
      <c r="P59" s="11">
        <f t="shared" si="4"/>
        <v>1.9599702970297013E-3</v>
      </c>
      <c r="Q59" s="11">
        <f t="shared" si="5"/>
        <v>1.806848108257389E-3</v>
      </c>
      <c r="R59" s="11">
        <f t="shared" si="6"/>
        <v>6.1972536105032824E-2</v>
      </c>
      <c r="S59" s="11">
        <f t="shared" si="7"/>
        <v>-2.7743E-2</v>
      </c>
      <c r="T59" s="11">
        <f t="shared" si="8"/>
        <v>6.7397586206896475E-3</v>
      </c>
      <c r="V59" s="3">
        <v>56</v>
      </c>
      <c r="W59" s="4" t="s">
        <v>55</v>
      </c>
      <c r="X59" s="5">
        <v>2.7743E-2</v>
      </c>
      <c r="Y59" s="5">
        <v>0.16424</v>
      </c>
      <c r="AA59" s="7" t="s">
        <v>94</v>
      </c>
      <c r="AB59" s="15">
        <v>0.24163894239187531</v>
      </c>
      <c r="AC59" s="15">
        <v>-6.7460576081246892E-3</v>
      </c>
      <c r="AD59" s="15">
        <v>-1.5612729862561681E-2</v>
      </c>
      <c r="AF59" s="7" t="s">
        <v>26</v>
      </c>
      <c r="AG59" s="15">
        <v>8.8926891834117144E-2</v>
      </c>
      <c r="AH59" s="15">
        <v>-3.111081658828535E-4</v>
      </c>
      <c r="AI59" s="15">
        <v>-1.0912438516384136E-3</v>
      </c>
      <c r="AK59" s="7" t="s">
        <v>46</v>
      </c>
      <c r="AL59" s="15">
        <v>0.12982456140350879</v>
      </c>
      <c r="AM59" s="15">
        <v>-3.9824385964912223E-3</v>
      </c>
      <c r="AN59" s="15">
        <v>-1.1697435179176107E-2</v>
      </c>
      <c r="AP59" s="7" t="s">
        <v>9</v>
      </c>
      <c r="AQ59" s="15">
        <v>0.47524752475247523</v>
      </c>
      <c r="AR59" s="15">
        <v>-2.537847524752479E-2</v>
      </c>
      <c r="AS59" s="15">
        <v>-5.0755732357473E-2</v>
      </c>
      <c r="AU59" s="7" t="s">
        <v>29</v>
      </c>
      <c r="AV59" s="15">
        <v>0.34852250759458708</v>
      </c>
      <c r="AW59" s="15">
        <v>2.3250759458709469E-4</v>
      </c>
      <c r="AX59" s="15">
        <v>4.8801023127171249E-4</v>
      </c>
      <c r="AZ59" s="7" t="s">
        <v>99</v>
      </c>
      <c r="BA59" s="15">
        <v>0.46006564551422319</v>
      </c>
      <c r="BB59" s="15">
        <v>2.6455142231873729E-6</v>
      </c>
      <c r="BC59" s="15">
        <v>5.307854344647278E-6</v>
      </c>
      <c r="BE59" s="7" t="s">
        <v>11</v>
      </c>
      <c r="BF59" s="15">
        <v>0.1070053887605851</v>
      </c>
      <c r="BG59" s="15">
        <v>-4.0666112394149023E-3</v>
      </c>
      <c r="BH59" s="15">
        <v>-1.2941552942010135E-2</v>
      </c>
      <c r="BJ59" s="7" t="s">
        <v>75</v>
      </c>
      <c r="BK59" s="15">
        <v>0.1044932079414838</v>
      </c>
      <c r="BL59" s="15">
        <v>-1.8217920585162084E-3</v>
      </c>
      <c r="BM59" s="15">
        <v>-5.9101504584497169E-3</v>
      </c>
    </row>
    <row r="60" spans="1:65" x14ac:dyDescent="0.2">
      <c r="A60" s="10" t="s">
        <v>56</v>
      </c>
      <c r="B60" s="12">
        <v>1.05060409735598E-2</v>
      </c>
      <c r="C60" s="12">
        <v>2.9072253099615222E-2</v>
      </c>
      <c r="D60" s="12">
        <v>5.6140350877192977E-2</v>
      </c>
      <c r="E60" s="12">
        <v>3.9603960396039598E-2</v>
      </c>
      <c r="F60" s="12">
        <v>4.5567522783761402E-2</v>
      </c>
      <c r="G60" s="12">
        <v>7.6586433260393869E-2</v>
      </c>
      <c r="H60" s="12">
        <v>7.6982294072363352E-4</v>
      </c>
      <c r="I60" s="12">
        <v>6.1442006269592467E-2</v>
      </c>
      <c r="J60" s="13">
        <v>3.7457999999999998E-2</v>
      </c>
      <c r="L60" s="7" t="s">
        <v>56</v>
      </c>
      <c r="M60" s="11">
        <f t="shared" si="1"/>
        <v>-2.6951959026440198E-2</v>
      </c>
      <c r="N60" s="11">
        <f t="shared" si="2"/>
        <v>-8.3857469003847766E-3</v>
      </c>
      <c r="O60" s="11">
        <f t="shared" si="3"/>
        <v>1.8682350877192978E-2</v>
      </c>
      <c r="P60" s="11">
        <f t="shared" si="4"/>
        <v>2.1459603960395993E-3</v>
      </c>
      <c r="Q60" s="11">
        <f t="shared" si="5"/>
        <v>8.109522783761404E-3</v>
      </c>
      <c r="R60" s="11">
        <f t="shared" si="6"/>
        <v>3.912843326039387E-2</v>
      </c>
      <c r="S60" s="11">
        <f t="shared" si="7"/>
        <v>-3.6688177059276364E-2</v>
      </c>
      <c r="T60" s="11">
        <f t="shared" si="8"/>
        <v>2.3984006269592469E-2</v>
      </c>
      <c r="V60" s="3">
        <v>57</v>
      </c>
      <c r="W60" s="4" t="s">
        <v>56</v>
      </c>
      <c r="X60" s="5">
        <v>3.7457999999999998E-2</v>
      </c>
      <c r="Y60" s="5">
        <v>0.189886</v>
      </c>
      <c r="AA60" s="7" t="s">
        <v>19</v>
      </c>
      <c r="AB60" s="15">
        <v>0.1171423568551917</v>
      </c>
      <c r="AC60" s="15">
        <v>-5.297643144808295E-3</v>
      </c>
      <c r="AD60" s="15">
        <v>-1.6161156142929078E-2</v>
      </c>
      <c r="AF60" s="7" t="s">
        <v>35</v>
      </c>
      <c r="AG60" s="15">
        <v>0.1137238135955537</v>
      </c>
      <c r="AH60" s="15">
        <v>-1.2041864044463058E-3</v>
      </c>
      <c r="AI60" s="15">
        <v>-3.7755536395102131E-3</v>
      </c>
      <c r="AK60" s="7" t="s">
        <v>69</v>
      </c>
      <c r="AL60" s="15">
        <v>8.0701754385964913E-2</v>
      </c>
      <c r="AM60" s="15">
        <v>-3.3782456140350886E-3</v>
      </c>
      <c r="AN60" s="15">
        <v>-1.217320005778098E-2</v>
      </c>
      <c r="AP60" s="7" t="s">
        <v>60</v>
      </c>
      <c r="AQ60" s="15">
        <v>0.47524752475247523</v>
      </c>
      <c r="AR60" s="15">
        <v>-2.537847524752479E-2</v>
      </c>
      <c r="AS60" s="15">
        <v>-5.0755732357473E-2</v>
      </c>
      <c r="AU60" s="7" t="s">
        <v>65</v>
      </c>
      <c r="AV60" s="15">
        <v>0.1093620546810273</v>
      </c>
      <c r="AW60" s="15">
        <v>-2.5794531897269102E-4</v>
      </c>
      <c r="AX60" s="15">
        <v>-8.2562845556406219E-4</v>
      </c>
      <c r="AZ60" s="7" t="s">
        <v>74</v>
      </c>
      <c r="BA60" s="15">
        <v>0.1597374179431072</v>
      </c>
      <c r="BB60" s="15">
        <v>-5.1058205689280545E-4</v>
      </c>
      <c r="BC60" s="15">
        <v>-1.3918195883624023E-3</v>
      </c>
      <c r="BE60" s="7" t="s">
        <v>79</v>
      </c>
      <c r="BF60" s="15">
        <v>1.38568129330254E-2</v>
      </c>
      <c r="BG60" s="15">
        <v>-1.6171870669746003E-3</v>
      </c>
      <c r="BH60" s="15">
        <v>-1.3101952240317264E-2</v>
      </c>
      <c r="BJ60" s="7" t="s">
        <v>36</v>
      </c>
      <c r="BK60" s="15">
        <v>0.109717868338558</v>
      </c>
      <c r="BL60" s="15">
        <v>-2.1051316614420085E-3</v>
      </c>
      <c r="BM60" s="15">
        <v>-6.679628443734419E-3</v>
      </c>
    </row>
    <row r="61" spans="1:65" x14ac:dyDescent="0.2">
      <c r="A61" s="10" t="s">
        <v>57</v>
      </c>
      <c r="B61" s="12">
        <v>0.68464367011031346</v>
      </c>
      <c r="C61" s="12">
        <v>0.58657545959811885</v>
      </c>
      <c r="D61" s="12">
        <v>0.48771929824561411</v>
      </c>
      <c r="E61" s="12">
        <v>0.86138613861386137</v>
      </c>
      <c r="F61" s="12">
        <v>0.62137531068765539</v>
      </c>
      <c r="G61" s="12">
        <v>9.4638949671772429E-2</v>
      </c>
      <c r="H61" s="12">
        <v>6.8514241724403388E-2</v>
      </c>
      <c r="I61" s="12">
        <v>0.48526645768025078</v>
      </c>
      <c r="J61" s="13">
        <v>0.517903</v>
      </c>
      <c r="L61" s="7" t="s">
        <v>57</v>
      </c>
      <c r="M61" s="11">
        <f t="shared" si="1"/>
        <v>0.16674067011031346</v>
      </c>
      <c r="N61" s="11">
        <f t="shared" si="2"/>
        <v>6.8672459598118851E-2</v>
      </c>
      <c r="O61" s="11">
        <f t="shared" si="3"/>
        <v>-3.0183701754385894E-2</v>
      </c>
      <c r="P61" s="11">
        <f t="shared" si="4"/>
        <v>0.34348313861386137</v>
      </c>
      <c r="Q61" s="11">
        <f t="shared" si="5"/>
        <v>0.10347231068765539</v>
      </c>
      <c r="R61" s="11">
        <f t="shared" si="6"/>
        <v>-0.42326405032822756</v>
      </c>
      <c r="S61" s="11">
        <f t="shared" si="7"/>
        <v>-0.4493887582755966</v>
      </c>
      <c r="T61" s="11">
        <f t="shared" si="8"/>
        <v>-3.2636542319749218E-2</v>
      </c>
      <c r="V61" s="3">
        <v>58</v>
      </c>
      <c r="W61" s="4" t="s">
        <v>57</v>
      </c>
      <c r="X61" s="5">
        <v>0.517903</v>
      </c>
      <c r="Y61" s="5">
        <v>0.49969200000000003</v>
      </c>
      <c r="AA61" s="7" t="s">
        <v>73</v>
      </c>
      <c r="AB61" s="15">
        <v>0.18980914025564699</v>
      </c>
      <c r="AC61" s="15">
        <v>-6.6458597443529999E-3</v>
      </c>
      <c r="AD61" s="15">
        <v>-1.6726465784652905E-2</v>
      </c>
      <c r="AF61" s="7" t="s">
        <v>74</v>
      </c>
      <c r="AG61" s="15">
        <v>0.15861479264643011</v>
      </c>
      <c r="AH61" s="15">
        <v>-1.6332073535698932E-3</v>
      </c>
      <c r="AI61" s="15">
        <v>-4.4520365646796151E-3</v>
      </c>
      <c r="AK61" s="7" t="s">
        <v>7</v>
      </c>
      <c r="AL61" s="15">
        <v>7.0175438596491229E-3</v>
      </c>
      <c r="AM61" s="15">
        <v>-1.3954561403508774E-3</v>
      </c>
      <c r="AN61" s="15">
        <v>-1.5277936240676141E-2</v>
      </c>
      <c r="AP61" s="7" t="s">
        <v>64</v>
      </c>
      <c r="AQ61" s="15">
        <v>8.9108910891089105E-2</v>
      </c>
      <c r="AR61" s="15">
        <v>-1.8307089108910893E-2</v>
      </c>
      <c r="AS61" s="15">
        <v>-5.9121876663687692E-2</v>
      </c>
      <c r="AU61" s="7" t="s">
        <v>38</v>
      </c>
      <c r="AV61" s="15">
        <v>0.10218171775752551</v>
      </c>
      <c r="AW61" s="15">
        <v>-3.27282242474497E-4</v>
      </c>
      <c r="AX61" s="15">
        <v>-1.0789856472764997E-3</v>
      </c>
      <c r="AZ61" s="7" t="s">
        <v>36</v>
      </c>
      <c r="BA61" s="15">
        <v>0.1110503282275711</v>
      </c>
      <c r="BB61" s="15">
        <v>-7.7267177242890117E-4</v>
      </c>
      <c r="BC61" s="15">
        <v>-2.4517043011226185E-3</v>
      </c>
      <c r="BE61" s="7" t="s">
        <v>26</v>
      </c>
      <c r="BF61" s="15">
        <v>8.4680523479599687E-2</v>
      </c>
      <c r="BG61" s="15">
        <v>-4.5574765204003109E-3</v>
      </c>
      <c r="BH61" s="15">
        <v>-1.5985817079921819E-2</v>
      </c>
      <c r="BJ61" s="7" t="s">
        <v>66</v>
      </c>
      <c r="BK61" s="15">
        <v>0.1128526645768025</v>
      </c>
      <c r="BL61" s="15">
        <v>-2.2753354231974943E-3</v>
      </c>
      <c r="BM61" s="15">
        <v>-7.1285787966147976E-3</v>
      </c>
    </row>
    <row r="62" spans="1:65" x14ac:dyDescent="0.2">
      <c r="A62" s="10" t="s">
        <v>58</v>
      </c>
      <c r="B62" s="12">
        <v>1.068114165645246E-2</v>
      </c>
      <c r="C62" s="12">
        <v>2.7362120564343739E-2</v>
      </c>
      <c r="D62" s="12">
        <v>3.1578947368421047E-2</v>
      </c>
      <c r="E62" s="12">
        <v>0</v>
      </c>
      <c r="F62" s="12">
        <v>2.2093344380005519E-3</v>
      </c>
      <c r="G62" s="12">
        <v>0</v>
      </c>
      <c r="H62" s="12">
        <v>0.32563510392609701</v>
      </c>
      <c r="I62" s="12">
        <v>4.1797283176593522E-4</v>
      </c>
      <c r="J62" s="13">
        <v>2.8393999999999999E-2</v>
      </c>
      <c r="L62" s="7" t="s">
        <v>58</v>
      </c>
      <c r="M62" s="11">
        <f t="shared" si="1"/>
        <v>-1.7712858343547539E-2</v>
      </c>
      <c r="N62" s="11">
        <f t="shared" si="2"/>
        <v>-1.0318794356562605E-3</v>
      </c>
      <c r="O62" s="11">
        <f t="shared" si="3"/>
        <v>3.1849473684210476E-3</v>
      </c>
      <c r="P62" s="11">
        <f t="shared" si="4"/>
        <v>-2.8393999999999999E-2</v>
      </c>
      <c r="Q62" s="11">
        <f t="shared" si="5"/>
        <v>-2.6184665561999446E-2</v>
      </c>
      <c r="R62" s="11">
        <f t="shared" si="6"/>
        <v>-2.8393999999999999E-2</v>
      </c>
      <c r="S62" s="11">
        <f t="shared" si="7"/>
        <v>0.29724110392609704</v>
      </c>
      <c r="T62" s="11">
        <f t="shared" si="8"/>
        <v>-2.7976027168234063E-2</v>
      </c>
      <c r="V62" s="3">
        <v>59</v>
      </c>
      <c r="W62" s="4" t="s">
        <v>58</v>
      </c>
      <c r="X62" s="5">
        <v>2.8393999999999999E-2</v>
      </c>
      <c r="Y62" s="5">
        <v>0.1661</v>
      </c>
      <c r="AA62" s="7" t="s">
        <v>4</v>
      </c>
      <c r="AB62" s="15">
        <v>0.15268779548240241</v>
      </c>
      <c r="AC62" s="15">
        <v>-6.2082045175975986E-3</v>
      </c>
      <c r="AD62" s="15">
        <v>-1.6981376675987512E-2</v>
      </c>
      <c r="AF62" s="7" t="s">
        <v>12</v>
      </c>
      <c r="AG62" s="15">
        <v>0.41769987174005979</v>
      </c>
      <c r="AH62" s="15">
        <v>-2.6521282599402118E-3</v>
      </c>
      <c r="AI62" s="15">
        <v>-5.3727265469953323E-3</v>
      </c>
      <c r="AK62" s="7" t="s">
        <v>74</v>
      </c>
      <c r="AL62" s="15">
        <v>0.15438596491228071</v>
      </c>
      <c r="AM62" s="15">
        <v>-5.8620350877192917E-3</v>
      </c>
      <c r="AN62" s="15">
        <v>-1.5979596526378422E-2</v>
      </c>
      <c r="AP62" s="7" t="s">
        <v>1</v>
      </c>
      <c r="AQ62" s="15">
        <v>0.12871287128712869</v>
      </c>
      <c r="AR62" s="15">
        <v>-2.1520128712871317E-2</v>
      </c>
      <c r="AS62" s="15">
        <v>-6.0228510732676897E-2</v>
      </c>
      <c r="AU62" s="7" t="s">
        <v>18</v>
      </c>
      <c r="AV62" s="15">
        <v>0.11239988953327811</v>
      </c>
      <c r="AW62" s="15">
        <v>-1.026110466721894E-3</v>
      </c>
      <c r="AX62" s="15">
        <v>-3.2357064550184128E-3</v>
      </c>
      <c r="AZ62" s="7" t="s">
        <v>77</v>
      </c>
      <c r="BA62" s="15">
        <v>0.10503282275711159</v>
      </c>
      <c r="BB62" s="15">
        <v>-7.8117724288841173E-4</v>
      </c>
      <c r="BC62" s="15">
        <v>-2.5395301241142487E-3</v>
      </c>
      <c r="BE62" s="7" t="s">
        <v>94</v>
      </c>
      <c r="BF62" s="15">
        <v>0.24095458044649731</v>
      </c>
      <c r="BG62" s="15">
        <v>-7.4304195535026818E-3</v>
      </c>
      <c r="BH62" s="15">
        <v>-1.71965820621835E-2</v>
      </c>
      <c r="BJ62" s="7" t="s">
        <v>23</v>
      </c>
      <c r="BK62" s="15">
        <v>7.5235109717868339E-3</v>
      </c>
      <c r="BL62" s="15">
        <v>-8.8948902821316643E-4</v>
      </c>
      <c r="BM62" s="15">
        <v>-9.738433381650204E-3</v>
      </c>
    </row>
    <row r="63" spans="1:65" x14ac:dyDescent="0.2">
      <c r="A63" s="10" t="s">
        <v>59</v>
      </c>
      <c r="B63" s="12">
        <v>0.13815443880231129</v>
      </c>
      <c r="C63" s="12">
        <v>0.2428388200085507</v>
      </c>
      <c r="D63" s="12">
        <v>0.36140350877192978</v>
      </c>
      <c r="E63" s="12">
        <v>0.1386138613861386</v>
      </c>
      <c r="F63" s="12">
        <v>0.24993095829881251</v>
      </c>
      <c r="G63" s="12">
        <v>0.6783369803063457</v>
      </c>
      <c r="H63" s="12">
        <v>0.71285604311008466</v>
      </c>
      <c r="I63" s="12">
        <v>0.31306165099268551</v>
      </c>
      <c r="J63" s="13">
        <v>0.30261900000000003</v>
      </c>
      <c r="L63" s="7" t="s">
        <v>59</v>
      </c>
      <c r="M63" s="11">
        <f t="shared" si="1"/>
        <v>-0.16446456119768874</v>
      </c>
      <c r="N63" s="11">
        <f t="shared" si="2"/>
        <v>-5.9780179991449328E-2</v>
      </c>
      <c r="O63" s="11">
        <f t="shared" si="3"/>
        <v>5.8784508771929755E-2</v>
      </c>
      <c r="P63" s="11">
        <f t="shared" si="4"/>
        <v>-0.16400513861386143</v>
      </c>
      <c r="Q63" s="11">
        <f t="shared" si="5"/>
        <v>-5.2688041701187516E-2</v>
      </c>
      <c r="R63" s="11">
        <f t="shared" si="6"/>
        <v>0.37571798030634568</v>
      </c>
      <c r="S63" s="11">
        <f t="shared" si="7"/>
        <v>0.41023704311008463</v>
      </c>
      <c r="T63" s="11">
        <f t="shared" si="8"/>
        <v>1.0442650992685487E-2</v>
      </c>
      <c r="V63" s="3">
        <v>60</v>
      </c>
      <c r="W63" s="4" t="s">
        <v>59</v>
      </c>
      <c r="X63" s="5">
        <v>0.30261900000000003</v>
      </c>
      <c r="Y63" s="5">
        <v>0.45940300000000001</v>
      </c>
      <c r="AA63" s="7" t="s">
        <v>47</v>
      </c>
      <c r="AB63" s="15">
        <v>6.7763964279460687E-2</v>
      </c>
      <c r="AC63" s="15">
        <v>-4.5480357205393146E-3</v>
      </c>
      <c r="AD63" s="15">
        <v>-1.7559305511522003E-2</v>
      </c>
      <c r="AF63" s="7" t="s">
        <v>5</v>
      </c>
      <c r="AG63" s="15">
        <v>0.1748610517315092</v>
      </c>
      <c r="AH63" s="15">
        <v>-2.3139482684907953E-3</v>
      </c>
      <c r="AI63" s="15">
        <v>-6.0602166130404823E-3</v>
      </c>
      <c r="AK63" s="7" t="s">
        <v>111</v>
      </c>
      <c r="AL63" s="15">
        <v>0</v>
      </c>
      <c r="AM63" s="15">
        <v>-3.5100000000000002E-4</v>
      </c>
      <c r="AN63" s="15">
        <v>-1.8749999999999999E-2</v>
      </c>
      <c r="AP63" s="7" t="s">
        <v>30</v>
      </c>
      <c r="AQ63" s="15">
        <v>0.1089108910891089</v>
      </c>
      <c r="AR63" s="15">
        <v>-2.19421089108911E-2</v>
      </c>
      <c r="AS63" s="15">
        <v>-6.5062235835026752E-2</v>
      </c>
      <c r="AU63" s="7" t="s">
        <v>20</v>
      </c>
      <c r="AV63" s="15">
        <v>0.11626622479977911</v>
      </c>
      <c r="AW63" s="15">
        <v>-1.4657752002208979E-3</v>
      </c>
      <c r="AX63" s="15">
        <v>-4.5478738693601221E-3</v>
      </c>
      <c r="AZ63" s="7" t="s">
        <v>14</v>
      </c>
      <c r="BA63" s="15">
        <v>0.26094091903719913</v>
      </c>
      <c r="BB63" s="15">
        <v>-1.2150809628008741E-3</v>
      </c>
      <c r="BC63" s="15">
        <v>-2.7626903919368332E-3</v>
      </c>
      <c r="BE63" s="7" t="s">
        <v>72</v>
      </c>
      <c r="BF63" s="15">
        <v>3.0946882217090068</v>
      </c>
      <c r="BG63" s="15">
        <v>-3.0455778290993329E-2</v>
      </c>
      <c r="BH63" s="15">
        <v>-1.7773322135051228E-2</v>
      </c>
      <c r="BJ63" s="7" t="s">
        <v>5</v>
      </c>
      <c r="BK63" s="15">
        <v>0.1732497387669801</v>
      </c>
      <c r="BL63" s="15">
        <v>-3.9252612330198944E-3</v>
      </c>
      <c r="BM63" s="15">
        <v>-1.0280235586418668E-2</v>
      </c>
    </row>
    <row r="64" spans="1:65" x14ac:dyDescent="0.2">
      <c r="A64" s="10" t="s">
        <v>60</v>
      </c>
      <c r="B64" s="12">
        <v>0.57800735422868155</v>
      </c>
      <c r="C64" s="12">
        <v>0.43565626336041041</v>
      </c>
      <c r="D64" s="12">
        <v>0.49122807017543862</v>
      </c>
      <c r="E64" s="12">
        <v>0.47524752475247523</v>
      </c>
      <c r="F64" s="12">
        <v>0.63159348246340785</v>
      </c>
      <c r="G64" s="12">
        <v>0.38949671772428879</v>
      </c>
      <c r="H64" s="12">
        <v>0.45265588914549648</v>
      </c>
      <c r="I64" s="12">
        <v>0.39749216300940438</v>
      </c>
      <c r="J64" s="13">
        <v>0.50062600000000002</v>
      </c>
      <c r="L64" s="7" t="s">
        <v>60</v>
      </c>
      <c r="M64" s="11">
        <f t="shared" si="1"/>
        <v>7.7381354228681531E-2</v>
      </c>
      <c r="N64" s="11">
        <f t="shared" si="2"/>
        <v>-6.4969736639589604E-2</v>
      </c>
      <c r="O64" s="11">
        <f t="shared" si="3"/>
        <v>-9.3979298245613907E-3</v>
      </c>
      <c r="P64" s="11">
        <f t="shared" si="4"/>
        <v>-2.537847524752479E-2</v>
      </c>
      <c r="Q64" s="11">
        <f t="shared" si="5"/>
        <v>0.13096748246340784</v>
      </c>
      <c r="R64" s="11">
        <f t="shared" si="6"/>
        <v>-0.11112928227571123</v>
      </c>
      <c r="S64" s="11">
        <f t="shared" si="7"/>
        <v>-4.7970110854503534E-2</v>
      </c>
      <c r="T64" s="11">
        <f t="shared" si="8"/>
        <v>-0.10313383699059564</v>
      </c>
      <c r="V64" s="3">
        <v>61</v>
      </c>
      <c r="W64" s="4" t="s">
        <v>60</v>
      </c>
      <c r="X64" s="5">
        <v>0.50062600000000002</v>
      </c>
      <c r="Y64" s="5">
        <v>0.50001200000000001</v>
      </c>
      <c r="AA64" s="7" t="s">
        <v>36</v>
      </c>
      <c r="AB64" s="15">
        <v>0.1062861145158466</v>
      </c>
      <c r="AC64" s="15">
        <v>-5.5368854841534032E-3</v>
      </c>
      <c r="AD64" s="15">
        <v>-1.7568657793269396E-2</v>
      </c>
      <c r="AF64" s="7" t="s">
        <v>58</v>
      </c>
      <c r="AG64" s="15">
        <v>2.7362120564343739E-2</v>
      </c>
      <c r="AH64" s="15">
        <v>-1.0318794356562605E-3</v>
      </c>
      <c r="AI64" s="15">
        <v>-6.2123987697547288E-3</v>
      </c>
      <c r="AK64" s="7" t="s">
        <v>9</v>
      </c>
      <c r="AL64" s="15">
        <v>0.49122807017543862</v>
      </c>
      <c r="AM64" s="15">
        <v>-9.3979298245613907E-3</v>
      </c>
      <c r="AN64" s="15">
        <v>-1.8795408559317356E-2</v>
      </c>
      <c r="AP64" s="7" t="s">
        <v>65</v>
      </c>
      <c r="AQ64" s="15">
        <v>8.9108910891089105E-2</v>
      </c>
      <c r="AR64" s="15">
        <v>-2.051108910891089E-2</v>
      </c>
      <c r="AS64" s="15">
        <v>-6.5651661717962148E-2</v>
      </c>
      <c r="AU64" s="7" t="s">
        <v>35</v>
      </c>
      <c r="AV64" s="15">
        <v>0.1126760563380282</v>
      </c>
      <c r="AW64" s="15">
        <v>-2.2519436619718031E-3</v>
      </c>
      <c r="AX64" s="15">
        <v>-7.0606461404445408E-3</v>
      </c>
      <c r="AZ64" s="7" t="s">
        <v>87</v>
      </c>
      <c r="BA64" s="15">
        <v>6.0175054704595193E-2</v>
      </c>
      <c r="BB64" s="15">
        <v>-9.1994529540480319E-4</v>
      </c>
      <c r="BC64" s="15">
        <v>-3.8409473316554765E-3</v>
      </c>
      <c r="BE64" s="7" t="s">
        <v>18</v>
      </c>
      <c r="BF64" s="15">
        <v>0.1077752117013087</v>
      </c>
      <c r="BG64" s="15">
        <v>-5.6507882986912977E-3</v>
      </c>
      <c r="BH64" s="15">
        <v>-1.7819029010034966E-2</v>
      </c>
      <c r="BJ64" s="7" t="s">
        <v>82</v>
      </c>
      <c r="BK64" s="15">
        <v>2.507836990595611E-3</v>
      </c>
      <c r="BL64" s="15">
        <v>-6.9716300940438894E-4</v>
      </c>
      <c r="BM64" s="15">
        <v>-1.2334147327714188E-2</v>
      </c>
    </row>
    <row r="65" spans="1:65" x14ac:dyDescent="0.2">
      <c r="A65" s="10" t="s">
        <v>61</v>
      </c>
      <c r="B65" s="12">
        <v>0.13272631763263881</v>
      </c>
      <c r="C65" s="12">
        <v>8.123129542539546E-3</v>
      </c>
      <c r="D65" s="12">
        <v>0.1333333333333333</v>
      </c>
      <c r="E65" s="12">
        <v>4.9504950495049507E-2</v>
      </c>
      <c r="F65" s="12">
        <v>0.1314553990610329</v>
      </c>
      <c r="G65" s="12">
        <v>5.2516411378555797E-2</v>
      </c>
      <c r="H65" s="12">
        <v>8.0831408775981523E-2</v>
      </c>
      <c r="I65" s="12">
        <v>0.14357366771159871</v>
      </c>
      <c r="J65" s="13">
        <v>0.10936999999999999</v>
      </c>
      <c r="L65" s="7" t="s">
        <v>61</v>
      </c>
      <c r="M65" s="11">
        <f t="shared" si="1"/>
        <v>2.3356317632638818E-2</v>
      </c>
      <c r="N65" s="11">
        <f t="shared" si="2"/>
        <v>-0.10124687045746045</v>
      </c>
      <c r="O65" s="11">
        <f t="shared" si="3"/>
        <v>2.3963333333333309E-2</v>
      </c>
      <c r="P65" s="11">
        <f t="shared" si="4"/>
        <v>-5.9865049504950488E-2</v>
      </c>
      <c r="Q65" s="11">
        <f t="shared" si="5"/>
        <v>2.2085399061032907E-2</v>
      </c>
      <c r="R65" s="11">
        <f t="shared" si="6"/>
        <v>-5.6853588621444198E-2</v>
      </c>
      <c r="S65" s="11">
        <f t="shared" si="7"/>
        <v>-2.8538591224018472E-2</v>
      </c>
      <c r="T65" s="11">
        <f t="shared" si="8"/>
        <v>3.4203667711598718E-2</v>
      </c>
      <c r="V65" s="3">
        <v>62</v>
      </c>
      <c r="W65" s="4" t="s">
        <v>61</v>
      </c>
      <c r="X65" s="5">
        <v>0.10936999999999999</v>
      </c>
      <c r="Y65" s="5">
        <v>0.31211</v>
      </c>
      <c r="AA65" s="7" t="s">
        <v>92</v>
      </c>
      <c r="AB65" s="15">
        <v>1.085624233934512E-2</v>
      </c>
      <c r="AC65" s="15">
        <v>-2.1137576606548806E-3</v>
      </c>
      <c r="AD65" s="15">
        <v>-1.868135239381059E-2</v>
      </c>
      <c r="AF65" s="7" t="s">
        <v>103</v>
      </c>
      <c r="AG65" s="15">
        <v>2.7362120564343739E-2</v>
      </c>
      <c r="AH65" s="15">
        <v>-1.0318794356562605E-3</v>
      </c>
      <c r="AI65" s="15">
        <v>-6.2123987697547288E-3</v>
      </c>
      <c r="AK65" s="7" t="s">
        <v>60</v>
      </c>
      <c r="AL65" s="15">
        <v>0.49122807017543862</v>
      </c>
      <c r="AM65" s="15">
        <v>-9.3979298245613907E-3</v>
      </c>
      <c r="AN65" s="15">
        <v>-1.8795408559317356E-2</v>
      </c>
      <c r="AP65" s="7" t="s">
        <v>12</v>
      </c>
      <c r="AQ65" s="15">
        <v>0.38613861386138609</v>
      </c>
      <c r="AR65" s="15">
        <v>-3.421338613861391E-2</v>
      </c>
      <c r="AS65" s="15">
        <v>-6.9310059677761202E-2</v>
      </c>
      <c r="AU65" s="7" t="s">
        <v>109</v>
      </c>
      <c r="AV65" s="15">
        <v>2.513117923225628E-2</v>
      </c>
      <c r="AW65" s="15">
        <v>-1.1598207677437182E-3</v>
      </c>
      <c r="AX65" s="15">
        <v>-7.2487438844504046E-3</v>
      </c>
      <c r="AZ65" s="7" t="s">
        <v>32</v>
      </c>
      <c r="BA65" s="15">
        <v>0.1170678336980306</v>
      </c>
      <c r="BB65" s="15">
        <v>-1.4661663019693988E-3</v>
      </c>
      <c r="BC65" s="15">
        <v>-4.5357460454989486E-3</v>
      </c>
      <c r="BE65" s="7" t="s">
        <v>111</v>
      </c>
      <c r="BF65" s="15">
        <v>0</v>
      </c>
      <c r="BG65" s="15">
        <v>-3.5100000000000002E-4</v>
      </c>
      <c r="BH65" s="15">
        <v>-1.8749999999999999E-2</v>
      </c>
      <c r="BJ65" s="7" t="s">
        <v>38</v>
      </c>
      <c r="BK65" s="15">
        <v>9.8014629049111804E-2</v>
      </c>
      <c r="BL65" s="15">
        <v>-4.494370950888199E-3</v>
      </c>
      <c r="BM65" s="15">
        <v>-1.4817063440044966E-2</v>
      </c>
    </row>
    <row r="66" spans="1:65" x14ac:dyDescent="0.2">
      <c r="A66" s="10" t="s">
        <v>62</v>
      </c>
      <c r="B66" s="12">
        <v>0.13045000875503421</v>
      </c>
      <c r="C66" s="12">
        <v>2.3086789226165031E-2</v>
      </c>
      <c r="D66" s="12">
        <v>0.12982456140350879</v>
      </c>
      <c r="E66" s="12">
        <v>7.9207920792079209E-2</v>
      </c>
      <c r="F66" s="12">
        <v>0.12731289698978179</v>
      </c>
      <c r="G66" s="12">
        <v>4.8687089715536112E-2</v>
      </c>
      <c r="H66" s="12">
        <v>8.4680523479599687E-2</v>
      </c>
      <c r="I66" s="12">
        <v>0.1174503657262278</v>
      </c>
      <c r="J66" s="13">
        <v>0.10346</v>
      </c>
      <c r="L66" s="7" t="s">
        <v>62</v>
      </c>
      <c r="M66" s="11">
        <f t="shared" si="1"/>
        <v>2.6990008755034212E-2</v>
      </c>
      <c r="N66" s="11">
        <f t="shared" si="2"/>
        <v>-8.0373210773834969E-2</v>
      </c>
      <c r="O66" s="11">
        <f t="shared" si="3"/>
        <v>2.6364561403508791E-2</v>
      </c>
      <c r="P66" s="11">
        <f t="shared" si="4"/>
        <v>-2.4252079207920788E-2</v>
      </c>
      <c r="Q66" s="11">
        <f t="shared" si="5"/>
        <v>2.3852896989781797E-2</v>
      </c>
      <c r="R66" s="11">
        <f t="shared" si="6"/>
        <v>-5.4772910284463884E-2</v>
      </c>
      <c r="S66" s="11">
        <f t="shared" si="7"/>
        <v>-1.8779476520400309E-2</v>
      </c>
      <c r="T66" s="11">
        <f t="shared" si="8"/>
        <v>1.3990365726227805E-2</v>
      </c>
      <c r="V66" s="3">
        <v>63</v>
      </c>
      <c r="W66" s="4" t="s">
        <v>62</v>
      </c>
      <c r="X66" s="5">
        <v>0.10346</v>
      </c>
      <c r="Y66" s="5">
        <v>0.30456699999999998</v>
      </c>
      <c r="AA66" s="7" t="s">
        <v>111</v>
      </c>
      <c r="AB66" s="15">
        <v>0</v>
      </c>
      <c r="AC66" s="15">
        <v>-3.5100000000000002E-4</v>
      </c>
      <c r="AD66" s="15">
        <v>-1.8749999999999999E-2</v>
      </c>
      <c r="AF66" s="7" t="s">
        <v>40</v>
      </c>
      <c r="AG66" s="15">
        <v>0.1218469431380932</v>
      </c>
      <c r="AH66" s="15">
        <v>-2.3450568619067941E-3</v>
      </c>
      <c r="AI66" s="15">
        <v>-7.1103482982780757E-3</v>
      </c>
      <c r="AK66" s="7" t="s">
        <v>49</v>
      </c>
      <c r="AL66" s="15">
        <v>0.3473684210526316</v>
      </c>
      <c r="AM66" s="15">
        <v>-1.0185578947368379E-2</v>
      </c>
      <c r="AN66" s="15">
        <v>-2.125130181052131E-2</v>
      </c>
      <c r="AP66" s="7" t="s">
        <v>3</v>
      </c>
      <c r="AQ66" s="15">
        <v>0.1386138613861386</v>
      </c>
      <c r="AR66" s="15">
        <v>-2.5691138613861408E-2</v>
      </c>
      <c r="AS66" s="15">
        <v>-6.9330389905741321E-2</v>
      </c>
      <c r="AU66" s="7" t="s">
        <v>87</v>
      </c>
      <c r="AV66" s="15">
        <v>5.8823529411764712E-2</v>
      </c>
      <c r="AW66" s="15">
        <v>-2.2714705882352845E-3</v>
      </c>
      <c r="AX66" s="15">
        <v>-9.483823590811593E-3</v>
      </c>
      <c r="AZ66" s="7" t="s">
        <v>88</v>
      </c>
      <c r="BA66" s="15">
        <v>0.35284463894967177</v>
      </c>
      <c r="BB66" s="15">
        <v>-3.2073610503282057E-3</v>
      </c>
      <c r="BC66" s="15">
        <v>-6.6981475145887186E-3</v>
      </c>
      <c r="BE66" s="7" t="s">
        <v>86</v>
      </c>
      <c r="BF66" s="15">
        <v>0.1070053887605851</v>
      </c>
      <c r="BG66" s="15">
        <v>-6.620611239414903E-3</v>
      </c>
      <c r="BH66" s="15">
        <v>-2.0861188976147031E-2</v>
      </c>
      <c r="BJ66" s="7" t="s">
        <v>17</v>
      </c>
      <c r="BK66" s="15">
        <v>0.11097178683385581</v>
      </c>
      <c r="BL66" s="15">
        <v>-5.0582131661441876E-3</v>
      </c>
      <c r="BM66" s="15">
        <v>-1.5793639615898469E-2</v>
      </c>
    </row>
    <row r="67" spans="1:65" x14ac:dyDescent="0.2">
      <c r="A67" s="10" t="s">
        <v>63</v>
      </c>
      <c r="B67" s="12">
        <v>0.13115041148660481</v>
      </c>
      <c r="C67" s="12">
        <v>6.5840102607952117E-2</v>
      </c>
      <c r="D67" s="12">
        <v>0.11228070175438599</v>
      </c>
      <c r="E67" s="12">
        <v>9.9009900990099011E-3</v>
      </c>
      <c r="F67" s="12">
        <v>0.1231703949185308</v>
      </c>
      <c r="G67" s="12">
        <v>8.0962800875273522E-2</v>
      </c>
      <c r="H67" s="12">
        <v>7.6212471131639717E-2</v>
      </c>
      <c r="I67" s="12">
        <v>0.12915360501567399</v>
      </c>
      <c r="J67" s="13">
        <v>0.112524</v>
      </c>
      <c r="L67" s="7" t="s">
        <v>63</v>
      </c>
      <c r="M67" s="11">
        <f t="shared" si="1"/>
        <v>1.8626411486604807E-2</v>
      </c>
      <c r="N67" s="11">
        <f t="shared" si="2"/>
        <v>-4.6683897392047882E-2</v>
      </c>
      <c r="O67" s="11">
        <f t="shared" si="3"/>
        <v>-2.4329824561400426E-4</v>
      </c>
      <c r="P67" s="11">
        <f t="shared" si="4"/>
        <v>-0.1026230099009901</v>
      </c>
      <c r="Q67" s="11">
        <f t="shared" si="5"/>
        <v>1.0646394918530797E-2</v>
      </c>
      <c r="R67" s="11">
        <f t="shared" si="6"/>
        <v>-3.1561199124726477E-2</v>
      </c>
      <c r="S67" s="11">
        <f t="shared" si="7"/>
        <v>-3.6311528868360282E-2</v>
      </c>
      <c r="T67" s="11">
        <f t="shared" si="8"/>
        <v>1.6629605015673996E-2</v>
      </c>
      <c r="V67" s="3">
        <v>64</v>
      </c>
      <c r="W67" s="4" t="s">
        <v>63</v>
      </c>
      <c r="X67" s="5">
        <v>0.112524</v>
      </c>
      <c r="Y67" s="5">
        <v>0.31601800000000002</v>
      </c>
      <c r="AA67" s="7" t="s">
        <v>38</v>
      </c>
      <c r="AB67" s="15">
        <v>9.6480476273857474E-2</v>
      </c>
      <c r="AC67" s="15">
        <v>-6.028523726142529E-3</v>
      </c>
      <c r="AD67" s="15">
        <v>-1.987486557655355E-2</v>
      </c>
      <c r="AF67" s="7" t="s">
        <v>37</v>
      </c>
      <c r="AG67" s="15">
        <v>0.10560068405301409</v>
      </c>
      <c r="AH67" s="15">
        <v>-2.4163159469859086E-3</v>
      </c>
      <c r="AI67" s="15">
        <v>-7.7842722431168722E-3</v>
      </c>
      <c r="AK67" s="7" t="s">
        <v>112</v>
      </c>
      <c r="AL67" s="15">
        <v>3.508771929824561E-3</v>
      </c>
      <c r="AM67" s="15">
        <v>-1.5992280701754387E-3</v>
      </c>
      <c r="AN67" s="15">
        <v>-2.2433027117443625E-2</v>
      </c>
      <c r="AP67" s="7" t="s">
        <v>36</v>
      </c>
      <c r="AQ67" s="15">
        <v>8.9108910891089105E-2</v>
      </c>
      <c r="AR67" s="15">
        <v>-2.2714089108910901E-2</v>
      </c>
      <c r="AS67" s="15">
        <v>-7.207229764501788E-2</v>
      </c>
      <c r="AU67" s="7" t="s">
        <v>11</v>
      </c>
      <c r="AV67" s="15">
        <v>0.107981220657277</v>
      </c>
      <c r="AW67" s="15">
        <v>-3.0907793427230046E-3</v>
      </c>
      <c r="AX67" s="15">
        <v>-9.8360728727234104E-3</v>
      </c>
      <c r="AZ67" s="7" t="s">
        <v>5</v>
      </c>
      <c r="BA67" s="15">
        <v>0.17396061269146609</v>
      </c>
      <c r="BB67" s="15">
        <v>-3.2143873085339059E-3</v>
      </c>
      <c r="BC67" s="15">
        <v>-8.4184610491006527E-3</v>
      </c>
      <c r="BE67" s="7" t="s">
        <v>16</v>
      </c>
      <c r="BF67" s="15">
        <v>0.1039260969976905</v>
      </c>
      <c r="BG67" s="15">
        <v>-8.3479030023095036E-3</v>
      </c>
      <c r="BH67" s="15">
        <v>-2.644159691081243E-2</v>
      </c>
      <c r="BJ67" s="7" t="s">
        <v>7</v>
      </c>
      <c r="BK67" s="15">
        <v>6.8965517241379309E-3</v>
      </c>
      <c r="BL67" s="15">
        <v>-1.5164482758620694E-3</v>
      </c>
      <c r="BM67" s="15">
        <v>-1.660259996783452E-2</v>
      </c>
    </row>
    <row r="68" spans="1:65" x14ac:dyDescent="0.2">
      <c r="A68" s="10" t="s">
        <v>64</v>
      </c>
      <c r="B68" s="12">
        <v>0.1239712834880056</v>
      </c>
      <c r="C68" s="12">
        <v>7.9948696023941862E-2</v>
      </c>
      <c r="D68" s="12">
        <v>0.1192982456140351</v>
      </c>
      <c r="E68" s="12">
        <v>8.9108910891089105E-2</v>
      </c>
      <c r="F68" s="12">
        <v>0.103838718586026</v>
      </c>
      <c r="G68" s="12">
        <v>8.1509846827133484E-2</v>
      </c>
      <c r="H68" s="12">
        <v>9.3148575827559657E-2</v>
      </c>
      <c r="I68" s="12">
        <v>0.1172413793103448</v>
      </c>
      <c r="J68" s="13">
        <v>0.107416</v>
      </c>
      <c r="L68" s="7" t="s">
        <v>64</v>
      </c>
      <c r="M68" s="11">
        <f t="shared" si="1"/>
        <v>1.6555283488005598E-2</v>
      </c>
      <c r="N68" s="11">
        <f t="shared" si="2"/>
        <v>-2.7467303976058136E-2</v>
      </c>
      <c r="O68" s="11">
        <f t="shared" si="3"/>
        <v>1.18822456140351E-2</v>
      </c>
      <c r="P68" s="11">
        <f t="shared" si="4"/>
        <v>-1.8307089108910893E-2</v>
      </c>
      <c r="Q68" s="11">
        <f t="shared" si="5"/>
        <v>-3.5772814139739956E-3</v>
      </c>
      <c r="R68" s="11">
        <f t="shared" si="6"/>
        <v>-2.5906153172866514E-2</v>
      </c>
      <c r="S68" s="11">
        <f t="shared" si="7"/>
        <v>-1.4267424172440341E-2</v>
      </c>
      <c r="T68" s="11">
        <f t="shared" si="8"/>
        <v>9.8253793103448006E-3</v>
      </c>
      <c r="V68" s="3">
        <v>65</v>
      </c>
      <c r="W68" s="4" t="s">
        <v>64</v>
      </c>
      <c r="X68" s="5">
        <v>0.107416</v>
      </c>
      <c r="Y68" s="5">
        <v>0.30964999999999998</v>
      </c>
      <c r="AA68" s="7" t="s">
        <v>40</v>
      </c>
      <c r="AB68" s="15">
        <v>0.1166170548065137</v>
      </c>
      <c r="AC68" s="15">
        <v>-7.574945193486296E-3</v>
      </c>
      <c r="AD68" s="15">
        <v>-2.2967672784812713E-2</v>
      </c>
      <c r="AF68" s="7" t="s">
        <v>25</v>
      </c>
      <c r="AG68" s="15">
        <v>0.1107310816588286</v>
      </c>
      <c r="AH68" s="15">
        <v>-2.7449183411713957E-3</v>
      </c>
      <c r="AI68" s="15">
        <v>-8.6540798064562163E-3</v>
      </c>
      <c r="AK68" s="7" t="s">
        <v>65</v>
      </c>
      <c r="AL68" s="15">
        <v>0.10175438596491231</v>
      </c>
      <c r="AM68" s="15">
        <v>-7.8656140350876896E-3</v>
      </c>
      <c r="AN68" s="15">
        <v>-2.5176168320154693E-2</v>
      </c>
      <c r="AP68" s="7" t="s">
        <v>90</v>
      </c>
      <c r="AQ68" s="15">
        <v>0.2277227722772277</v>
      </c>
      <c r="AR68" s="15">
        <v>-3.3482227722772318E-2</v>
      </c>
      <c r="AS68" s="15">
        <v>-7.6216879783775893E-2</v>
      </c>
      <c r="AU68" s="7" t="s">
        <v>25</v>
      </c>
      <c r="AV68" s="15">
        <v>0.10991438829052751</v>
      </c>
      <c r="AW68" s="15">
        <v>-3.561611709472487E-3</v>
      </c>
      <c r="AX68" s="15">
        <v>-1.1228921280124619E-2</v>
      </c>
      <c r="AZ68" s="7" t="s">
        <v>79</v>
      </c>
      <c r="BA68" s="15">
        <v>1.4223194748358861E-2</v>
      </c>
      <c r="BB68" s="15">
        <v>-1.2508052516411391E-3</v>
      </c>
      <c r="BC68" s="15">
        <v>-1.0133639455575497E-2</v>
      </c>
      <c r="BE68" s="7" t="s">
        <v>89</v>
      </c>
      <c r="BF68" s="15">
        <v>3.8491147036181679E-3</v>
      </c>
      <c r="BG68" s="15">
        <v>-2.0598852963818323E-3</v>
      </c>
      <c r="BH68" s="15">
        <v>-2.6875313733030193E-2</v>
      </c>
      <c r="BJ68" s="7" t="s">
        <v>111</v>
      </c>
      <c r="BK68" s="15">
        <v>0</v>
      </c>
      <c r="BL68" s="15">
        <v>-3.5100000000000002E-4</v>
      </c>
      <c r="BM68" s="15">
        <v>-1.8749999999999999E-2</v>
      </c>
    </row>
    <row r="69" spans="1:65" x14ac:dyDescent="0.2">
      <c r="A69" s="10" t="s">
        <v>65</v>
      </c>
      <c r="B69" s="12">
        <v>0.1164419541236211</v>
      </c>
      <c r="C69" s="12">
        <v>0.1000427533133818</v>
      </c>
      <c r="D69" s="12">
        <v>0.10175438596491231</v>
      </c>
      <c r="E69" s="12">
        <v>8.9108910891089105E-2</v>
      </c>
      <c r="F69" s="12">
        <v>0.1093620546810273</v>
      </c>
      <c r="G69" s="12">
        <v>9.6827133479212249E-2</v>
      </c>
      <c r="H69" s="12">
        <v>8.8529638183217865E-2</v>
      </c>
      <c r="I69" s="12">
        <v>0.1178683385579937</v>
      </c>
      <c r="J69" s="13">
        <v>0.10962</v>
      </c>
      <c r="L69" s="7" t="s">
        <v>65</v>
      </c>
      <c r="M69" s="11">
        <f t="shared" ref="M69:M118" si="9">B69-$J69</f>
        <v>6.8219541236211045E-3</v>
      </c>
      <c r="N69" s="11">
        <f t="shared" ref="N69:N118" si="10">C69-$J69</f>
        <v>-9.5772466866181905E-3</v>
      </c>
      <c r="O69" s="11">
        <f t="shared" ref="O69:O118" si="11">D69-$J69</f>
        <v>-7.8656140350876896E-3</v>
      </c>
      <c r="P69" s="11">
        <f t="shared" ref="P69:P118" si="12">E69-$J69</f>
        <v>-2.051108910891089E-2</v>
      </c>
      <c r="Q69" s="11">
        <f t="shared" ref="Q69:Q118" si="13">F69-$J69</f>
        <v>-2.5794531897269102E-4</v>
      </c>
      <c r="R69" s="11">
        <f t="shared" ref="R69:R118" si="14">G69-$J69</f>
        <v>-1.2792866520787746E-2</v>
      </c>
      <c r="S69" s="11">
        <f t="shared" ref="S69:S118" si="15">H69-$J69</f>
        <v>-2.109036181678213E-2</v>
      </c>
      <c r="T69" s="11">
        <f t="shared" ref="T69:T118" si="16">I69-$J69</f>
        <v>8.2483385579937007E-3</v>
      </c>
      <c r="V69" s="3">
        <v>66</v>
      </c>
      <c r="W69" s="4" t="s">
        <v>65</v>
      </c>
      <c r="X69" s="5">
        <v>0.10962</v>
      </c>
      <c r="Y69" s="5">
        <v>0.31242300000000001</v>
      </c>
      <c r="AA69" s="7" t="s">
        <v>49</v>
      </c>
      <c r="AB69" s="15">
        <v>0.34617405007879531</v>
      </c>
      <c r="AC69" s="15">
        <v>-1.1379949921204668E-2</v>
      </c>
      <c r="AD69" s="15">
        <v>-2.3743250296697355E-2</v>
      </c>
      <c r="AF69" s="7" t="s">
        <v>101</v>
      </c>
      <c r="AG69" s="15">
        <v>5.9854638734501923E-3</v>
      </c>
      <c r="AH69" s="15">
        <v>-8.7553612654980763E-4</v>
      </c>
      <c r="AI69" s="15">
        <v>-1.0606645101516824E-2</v>
      </c>
      <c r="AK69" s="7" t="s">
        <v>41</v>
      </c>
      <c r="AL69" s="15">
        <v>0.1368421052631579</v>
      </c>
      <c r="AM69" s="15">
        <v>-9.5348947368421033E-3</v>
      </c>
      <c r="AN69" s="15">
        <v>-2.697336223586352E-2</v>
      </c>
      <c r="AP69" s="7" t="s">
        <v>40</v>
      </c>
      <c r="AQ69" s="15">
        <v>9.9009900990099015E-2</v>
      </c>
      <c r="AR69" s="15">
        <v>-2.5182099009900982E-2</v>
      </c>
      <c r="AS69" s="15">
        <v>-7.6353583467707015E-2</v>
      </c>
      <c r="AU69" s="7" t="s">
        <v>28</v>
      </c>
      <c r="AV69" s="15">
        <v>0.42529687931510629</v>
      </c>
      <c r="AW69" s="15">
        <v>-5.6711206848937268E-3</v>
      </c>
      <c r="AX69" s="15">
        <v>-1.1451627313889729E-2</v>
      </c>
      <c r="AZ69" s="7" t="s">
        <v>15</v>
      </c>
      <c r="BA69" s="15">
        <v>0.37964989059080961</v>
      </c>
      <c r="BB69" s="15">
        <v>-4.9961094091903746E-3</v>
      </c>
      <c r="BC69" s="15">
        <v>-1.0268988599103794E-2</v>
      </c>
      <c r="BE69" s="7" t="s">
        <v>33</v>
      </c>
      <c r="BF69" s="15">
        <v>0.11316397228637411</v>
      </c>
      <c r="BG69" s="15">
        <v>-8.8250277136258937E-3</v>
      </c>
      <c r="BH69" s="15">
        <v>-2.6964680851090939E-2</v>
      </c>
      <c r="BJ69" s="7" t="s">
        <v>14</v>
      </c>
      <c r="BK69" s="15">
        <v>0.25308254963427379</v>
      </c>
      <c r="BL69" s="15">
        <v>-9.07345036572621E-3</v>
      </c>
      <c r="BM69" s="15">
        <v>-2.0630011426831577E-2</v>
      </c>
    </row>
    <row r="70" spans="1:65" x14ac:dyDescent="0.2">
      <c r="A70" s="10" t="s">
        <v>66</v>
      </c>
      <c r="B70" s="12">
        <v>0.1031343022237787</v>
      </c>
      <c r="C70" s="12">
        <v>0.15946985891406579</v>
      </c>
      <c r="D70" s="12">
        <v>0.1192982456140351</v>
      </c>
      <c r="E70" s="12">
        <v>6.9306930693069313E-2</v>
      </c>
      <c r="F70" s="12">
        <v>0.10521955260977631</v>
      </c>
      <c r="G70" s="12">
        <v>0.1170678336980306</v>
      </c>
      <c r="H70" s="12">
        <v>0.123941493456505</v>
      </c>
      <c r="I70" s="12">
        <v>0.1128526645768025</v>
      </c>
      <c r="J70" s="13">
        <v>0.11512799999999999</v>
      </c>
      <c r="L70" s="7" t="s">
        <v>66</v>
      </c>
      <c r="M70" s="11">
        <f t="shared" si="9"/>
        <v>-1.1993697776221293E-2</v>
      </c>
      <c r="N70" s="11">
        <f t="shared" si="10"/>
        <v>4.4341858914065793E-2</v>
      </c>
      <c r="O70" s="11">
        <f t="shared" si="11"/>
        <v>4.1702456140351035E-3</v>
      </c>
      <c r="P70" s="11">
        <f t="shared" si="12"/>
        <v>-4.5821069306930681E-2</v>
      </c>
      <c r="Q70" s="11">
        <f t="shared" si="13"/>
        <v>-9.9084473902236875E-3</v>
      </c>
      <c r="R70" s="11">
        <f t="shared" si="14"/>
        <v>1.9398336980306075E-3</v>
      </c>
      <c r="S70" s="11">
        <f t="shared" si="15"/>
        <v>8.813493456505006E-3</v>
      </c>
      <c r="T70" s="11">
        <f t="shared" si="16"/>
        <v>-2.2753354231974943E-3</v>
      </c>
      <c r="V70" s="3">
        <v>67</v>
      </c>
      <c r="W70" s="4" t="s">
        <v>66</v>
      </c>
      <c r="X70" s="5">
        <v>0.11512799999999999</v>
      </c>
      <c r="Y70" s="5">
        <v>0.319185</v>
      </c>
      <c r="AA70" s="7" t="s">
        <v>88</v>
      </c>
      <c r="AB70" s="15">
        <v>0.344247942566976</v>
      </c>
      <c r="AC70" s="15">
        <v>-1.1804057433023984E-2</v>
      </c>
      <c r="AD70" s="15">
        <v>-2.4651205996587575E-2</v>
      </c>
      <c r="AF70" s="7" t="s">
        <v>16</v>
      </c>
      <c r="AG70" s="15">
        <v>0.1081658828559213</v>
      </c>
      <c r="AH70" s="15">
        <v>-4.1081171440787018E-3</v>
      </c>
      <c r="AI70" s="15">
        <v>-1.3012271172302206E-2</v>
      </c>
      <c r="AK70" s="7" t="s">
        <v>14</v>
      </c>
      <c r="AL70" s="15">
        <v>0.24912280701754391</v>
      </c>
      <c r="AM70" s="15">
        <v>-1.3033192982456088E-2</v>
      </c>
      <c r="AN70" s="15">
        <v>-2.9633150490557657E-2</v>
      </c>
      <c r="AP70" s="7" t="s">
        <v>89</v>
      </c>
      <c r="AQ70" s="15">
        <v>0</v>
      </c>
      <c r="AR70" s="15">
        <v>-5.9090000000000002E-3</v>
      </c>
      <c r="AS70" s="15">
        <v>-7.7094695091720372E-2</v>
      </c>
      <c r="AU70" s="7" t="s">
        <v>64</v>
      </c>
      <c r="AV70" s="15">
        <v>0.103838718586026</v>
      </c>
      <c r="AW70" s="15">
        <v>-3.5772814139739956E-3</v>
      </c>
      <c r="AX70" s="15">
        <v>-1.1552660791131909E-2</v>
      </c>
      <c r="AZ70" s="7" t="s">
        <v>97</v>
      </c>
      <c r="BA70" s="15">
        <v>9.9015317286652083E-2</v>
      </c>
      <c r="BB70" s="15">
        <v>-4.0446827133479163E-3</v>
      </c>
      <c r="BC70" s="15">
        <v>-1.3302908166054091E-2</v>
      </c>
      <c r="BE70" s="7" t="s">
        <v>29</v>
      </c>
      <c r="BF70" s="15">
        <v>0.3348729792147806</v>
      </c>
      <c r="BG70" s="15">
        <v>-1.3417020785219391E-2</v>
      </c>
      <c r="BH70" s="15">
        <v>-2.8160987291619914E-2</v>
      </c>
      <c r="BJ70" s="7" t="s">
        <v>0</v>
      </c>
      <c r="BK70" s="15">
        <v>3.5527690700104492E-3</v>
      </c>
      <c r="BL70" s="15">
        <v>-1.7052309299895505E-3</v>
      </c>
      <c r="BM70" s="15">
        <v>-2.3577663431081669E-2</v>
      </c>
    </row>
    <row r="71" spans="1:65" x14ac:dyDescent="0.2">
      <c r="A71" s="10" t="s">
        <v>67</v>
      </c>
      <c r="B71" s="12">
        <v>0.10243389949220801</v>
      </c>
      <c r="C71" s="12">
        <v>0.18982471141513471</v>
      </c>
      <c r="D71" s="12">
        <v>8.4210526315789472E-2</v>
      </c>
      <c r="E71" s="12">
        <v>0.21782178217821779</v>
      </c>
      <c r="F71" s="12">
        <v>0.10742888704777689</v>
      </c>
      <c r="G71" s="12">
        <v>0.1477024070021882</v>
      </c>
      <c r="H71" s="12">
        <v>0.1100846805234796</v>
      </c>
      <c r="I71" s="12">
        <v>0.1076280041797283</v>
      </c>
      <c r="J71" s="13">
        <v>0.119786</v>
      </c>
      <c r="L71" s="7" t="s">
        <v>67</v>
      </c>
      <c r="M71" s="11">
        <f t="shared" si="9"/>
        <v>-1.7352100507791998E-2</v>
      </c>
      <c r="N71" s="11">
        <f t="shared" si="10"/>
        <v>7.0038711415134708E-2</v>
      </c>
      <c r="O71" s="11">
        <f t="shared" si="11"/>
        <v>-3.5575473684210532E-2</v>
      </c>
      <c r="P71" s="11">
        <f t="shared" si="12"/>
        <v>9.803578217821779E-2</v>
      </c>
      <c r="Q71" s="11">
        <f t="shared" si="13"/>
        <v>-1.2357112952223109E-2</v>
      </c>
      <c r="R71" s="11">
        <f t="shared" si="14"/>
        <v>2.7916407002188198E-2</v>
      </c>
      <c r="S71" s="11">
        <f t="shared" si="15"/>
        <v>-9.7013194765204064E-3</v>
      </c>
      <c r="T71" s="11">
        <f t="shared" si="16"/>
        <v>-1.2157995820271703E-2</v>
      </c>
      <c r="V71" s="3">
        <v>68</v>
      </c>
      <c r="W71" s="4" t="s">
        <v>67</v>
      </c>
      <c r="X71" s="5">
        <v>0.119786</v>
      </c>
      <c r="Y71" s="5">
        <v>0.32471899999999998</v>
      </c>
      <c r="AA71" s="7" t="s">
        <v>45</v>
      </c>
      <c r="AB71" s="15">
        <v>0.11836806163544041</v>
      </c>
      <c r="AC71" s="15">
        <v>-8.3779383645595923E-3</v>
      </c>
      <c r="AD71" s="15">
        <v>-2.51818873165661E-2</v>
      </c>
      <c r="AF71" s="7" t="s">
        <v>0</v>
      </c>
      <c r="AG71" s="15">
        <v>4.2753313381787093E-3</v>
      </c>
      <c r="AH71" s="15">
        <v>-9.8266866182129039E-4</v>
      </c>
      <c r="AI71" s="15">
        <v>-1.3587034204707847E-2</v>
      </c>
      <c r="AK71" s="7" t="s">
        <v>70</v>
      </c>
      <c r="AL71" s="15">
        <v>1.754385964912281E-2</v>
      </c>
      <c r="AM71" s="15">
        <v>-4.3901403508771891E-3</v>
      </c>
      <c r="AN71" s="15">
        <v>-2.9972556876926577E-2</v>
      </c>
      <c r="AP71" s="7" t="s">
        <v>62</v>
      </c>
      <c r="AQ71" s="15">
        <v>7.9207920792079209E-2</v>
      </c>
      <c r="AR71" s="15">
        <v>-2.4252079207920788E-2</v>
      </c>
      <c r="AS71" s="15">
        <v>-7.9628059533438586E-2</v>
      </c>
      <c r="AU71" s="7" t="s">
        <v>27</v>
      </c>
      <c r="AV71" s="15">
        <v>8.6440209886771605E-2</v>
      </c>
      <c r="AW71" s="15">
        <v>-3.4487901132283921E-3</v>
      </c>
      <c r="AX71" s="15">
        <v>-1.2057441922974485E-2</v>
      </c>
      <c r="AZ71" s="7" t="s">
        <v>85</v>
      </c>
      <c r="BA71" s="15">
        <v>3.7199124726477018E-2</v>
      </c>
      <c r="BB71" s="15">
        <v>-3.2638752735229815E-3</v>
      </c>
      <c r="BC71" s="15">
        <v>-1.6563942985800249E-2</v>
      </c>
      <c r="BE71" s="7" t="s">
        <v>84</v>
      </c>
      <c r="BF71" s="15">
        <v>3.3872209391839873E-2</v>
      </c>
      <c r="BG71" s="15">
        <v>-5.5387906081601282E-3</v>
      </c>
      <c r="BH71" s="15">
        <v>-2.8465949593784064E-2</v>
      </c>
      <c r="BJ71" s="7" t="s">
        <v>39</v>
      </c>
      <c r="BK71" s="15">
        <v>7.6071055381400216E-2</v>
      </c>
      <c r="BL71" s="15">
        <v>-7.1579446185997819E-3</v>
      </c>
      <c r="BM71" s="15">
        <v>-2.5912518756130765E-2</v>
      </c>
    </row>
    <row r="72" spans="1:65" x14ac:dyDescent="0.2">
      <c r="A72" s="10" t="s">
        <v>68</v>
      </c>
      <c r="B72" s="12">
        <v>8.7550341446331642E-2</v>
      </c>
      <c r="C72" s="12">
        <v>0.21120136810602819</v>
      </c>
      <c r="D72" s="12">
        <v>0.10175438596491231</v>
      </c>
      <c r="E72" s="12">
        <v>0.21782178217821779</v>
      </c>
      <c r="F72" s="12">
        <v>0.111847555923778</v>
      </c>
      <c r="G72" s="12">
        <v>0.1613785557986871</v>
      </c>
      <c r="H72" s="12">
        <v>0.1224018475750577</v>
      </c>
      <c r="I72" s="12">
        <v>8.9028213166144204E-2</v>
      </c>
      <c r="J72" s="13">
        <v>0.11668100000000001</v>
      </c>
      <c r="L72" s="7" t="s">
        <v>68</v>
      </c>
      <c r="M72" s="11">
        <f t="shared" si="9"/>
        <v>-2.9130658553668365E-2</v>
      </c>
      <c r="N72" s="11">
        <f t="shared" si="10"/>
        <v>9.452036810602818E-2</v>
      </c>
      <c r="O72" s="11">
        <f t="shared" si="11"/>
        <v>-1.4926614035087701E-2</v>
      </c>
      <c r="P72" s="11">
        <f t="shared" si="12"/>
        <v>0.10114078217821779</v>
      </c>
      <c r="Q72" s="11">
        <f t="shared" si="13"/>
        <v>-4.8334440762220071E-3</v>
      </c>
      <c r="R72" s="11">
        <f t="shared" si="14"/>
        <v>4.4697555798687089E-2</v>
      </c>
      <c r="S72" s="11">
        <f t="shared" si="15"/>
        <v>5.720847575057697E-3</v>
      </c>
      <c r="T72" s="11">
        <f t="shared" si="16"/>
        <v>-2.7652786833855802E-2</v>
      </c>
      <c r="V72" s="3">
        <v>69</v>
      </c>
      <c r="W72" s="4" t="s">
        <v>68</v>
      </c>
      <c r="X72" s="5">
        <v>0.11668100000000001</v>
      </c>
      <c r="Y72" s="5">
        <v>0.321048</v>
      </c>
      <c r="AA72" s="7" t="s">
        <v>80</v>
      </c>
      <c r="AB72" s="15">
        <v>3.0292418140430748E-2</v>
      </c>
      <c r="AC72" s="15">
        <v>-5.1125818595692506E-3</v>
      </c>
      <c r="AD72" s="15">
        <v>-2.7664588052169575E-2</v>
      </c>
      <c r="AF72" s="7" t="s">
        <v>34</v>
      </c>
      <c r="AG72" s="15">
        <v>0.11415134672937149</v>
      </c>
      <c r="AH72" s="15">
        <v>-4.4826532706285088E-3</v>
      </c>
      <c r="AI72" s="15">
        <v>-1.3862518425397024E-2</v>
      </c>
      <c r="AK72" s="7" t="s">
        <v>113</v>
      </c>
      <c r="AL72" s="15">
        <v>3.508771929824561E-3</v>
      </c>
      <c r="AM72" s="15">
        <v>-4.2032280701754391E-3</v>
      </c>
      <c r="AN72" s="15">
        <v>-3.4245531703102863E-2</v>
      </c>
      <c r="AP72" s="7" t="s">
        <v>70</v>
      </c>
      <c r="AQ72" s="15">
        <v>9.9009900990099011E-3</v>
      </c>
      <c r="AR72" s="15">
        <v>-1.2033009900990098E-2</v>
      </c>
      <c r="AS72" s="15">
        <v>-8.2152287816033773E-2</v>
      </c>
      <c r="AU72" s="7" t="s">
        <v>68</v>
      </c>
      <c r="AV72" s="15">
        <v>0.111847555923778</v>
      </c>
      <c r="AW72" s="15">
        <v>-4.8334440762220071E-3</v>
      </c>
      <c r="AX72" s="15">
        <v>-1.5055206935480075E-2</v>
      </c>
      <c r="AZ72" s="7" t="s">
        <v>21</v>
      </c>
      <c r="BA72" s="15">
        <v>5.2516411378555797E-2</v>
      </c>
      <c r="BB72" s="15">
        <v>-4.2715886214442014E-3</v>
      </c>
      <c r="BC72" s="15">
        <v>-1.8456331025108564E-2</v>
      </c>
      <c r="BE72" s="7" t="s">
        <v>85</v>
      </c>
      <c r="BF72" s="15">
        <v>3.4642032332563508E-2</v>
      </c>
      <c r="BG72" s="15">
        <v>-5.8209676674364913E-3</v>
      </c>
      <c r="BH72" s="15">
        <v>-2.9541011370061415E-2</v>
      </c>
      <c r="BJ72" s="7" t="s">
        <v>27</v>
      </c>
      <c r="BK72" s="15">
        <v>8.1504702194357362E-2</v>
      </c>
      <c r="BL72" s="15">
        <v>-8.3842978056426348E-3</v>
      </c>
      <c r="BM72" s="15">
        <v>-2.9312651839466609E-2</v>
      </c>
    </row>
    <row r="73" spans="1:65" x14ac:dyDescent="0.2">
      <c r="A73" s="10" t="s">
        <v>69</v>
      </c>
      <c r="B73" s="12">
        <v>5.725792330590089E-2</v>
      </c>
      <c r="C73" s="12">
        <v>0.1368106028217187</v>
      </c>
      <c r="D73" s="12">
        <v>8.0701754385964913E-2</v>
      </c>
      <c r="E73" s="12">
        <v>0.1683168316831683</v>
      </c>
      <c r="F73" s="12">
        <v>7.3460370063518368E-2</v>
      </c>
      <c r="G73" s="12">
        <v>0.13676148796498899</v>
      </c>
      <c r="H73" s="12">
        <v>0.1531947652040031</v>
      </c>
      <c r="I73" s="12">
        <v>5.7889237199582028E-2</v>
      </c>
      <c r="J73" s="13">
        <v>8.4080000000000002E-2</v>
      </c>
      <c r="L73" s="7" t="s">
        <v>69</v>
      </c>
      <c r="M73" s="11">
        <f t="shared" si="9"/>
        <v>-2.6822076694099112E-2</v>
      </c>
      <c r="N73" s="11">
        <f t="shared" si="10"/>
        <v>5.2730602821718695E-2</v>
      </c>
      <c r="O73" s="11">
        <f t="shared" si="11"/>
        <v>-3.3782456140350886E-3</v>
      </c>
      <c r="P73" s="11">
        <f t="shared" si="12"/>
        <v>8.4236831683168298E-2</v>
      </c>
      <c r="Q73" s="11">
        <f t="shared" si="13"/>
        <v>-1.0619629936481634E-2</v>
      </c>
      <c r="R73" s="11">
        <f t="shared" si="14"/>
        <v>5.2681487964988991E-2</v>
      </c>
      <c r="S73" s="11">
        <f t="shared" si="15"/>
        <v>6.9114765204003101E-2</v>
      </c>
      <c r="T73" s="11">
        <f t="shared" si="16"/>
        <v>-2.6190762800417974E-2</v>
      </c>
      <c r="V73" s="3">
        <v>70</v>
      </c>
      <c r="W73" s="4" t="s">
        <v>69</v>
      </c>
      <c r="X73" s="5">
        <v>8.4080000000000002E-2</v>
      </c>
      <c r="Y73" s="5">
        <v>0.27751500000000001</v>
      </c>
      <c r="AA73" s="7" t="s">
        <v>109</v>
      </c>
      <c r="AB73" s="15">
        <v>2.171248467869025E-2</v>
      </c>
      <c r="AC73" s="15">
        <v>-4.5785153213097479E-3</v>
      </c>
      <c r="AD73" s="15">
        <v>-2.8615184223481731E-2</v>
      </c>
      <c r="AF73" s="7" t="s">
        <v>20</v>
      </c>
      <c r="AG73" s="15">
        <v>0.11286874732791791</v>
      </c>
      <c r="AH73" s="15">
        <v>-4.8632526720820968E-3</v>
      </c>
      <c r="AI73" s="15">
        <v>-1.5089257714364913E-2</v>
      </c>
      <c r="AK73" s="7" t="s">
        <v>38</v>
      </c>
      <c r="AL73" s="15">
        <v>9.1228070175438603E-2</v>
      </c>
      <c r="AM73" s="15">
        <v>-1.12809298245614E-2</v>
      </c>
      <c r="AN73" s="15">
        <v>-3.7191022881675702E-2</v>
      </c>
      <c r="AP73" s="7" t="s">
        <v>101</v>
      </c>
      <c r="AQ73" s="15">
        <v>0</v>
      </c>
      <c r="AR73" s="15">
        <v>-6.8609999999999999E-3</v>
      </c>
      <c r="AS73" s="15">
        <v>-8.311729217648342E-2</v>
      </c>
      <c r="AU73" s="7" t="s">
        <v>16</v>
      </c>
      <c r="AV73" s="15">
        <v>0.10742888704777689</v>
      </c>
      <c r="AW73" s="15">
        <v>-4.8451129522231046E-3</v>
      </c>
      <c r="AX73" s="15">
        <v>-1.5346671329865301E-2</v>
      </c>
      <c r="AZ73" s="7" t="s">
        <v>111</v>
      </c>
      <c r="BA73" s="15">
        <v>0</v>
      </c>
      <c r="BB73" s="15">
        <v>-3.5100000000000002E-4</v>
      </c>
      <c r="BC73" s="15">
        <v>-1.8749999999999999E-2</v>
      </c>
      <c r="BE73" s="7" t="s">
        <v>67</v>
      </c>
      <c r="BF73" s="15">
        <v>0.1100846805234796</v>
      </c>
      <c r="BG73" s="15">
        <v>-9.7013194765204064E-3</v>
      </c>
      <c r="BH73" s="15">
        <v>-2.9876045062101099E-2</v>
      </c>
      <c r="BJ73" s="7" t="s">
        <v>35</v>
      </c>
      <c r="BK73" s="15">
        <v>0.1055381400208986</v>
      </c>
      <c r="BL73" s="15">
        <v>-9.3898599791013976E-3</v>
      </c>
      <c r="BM73" s="15">
        <v>-2.9440558278756388E-2</v>
      </c>
    </row>
    <row r="74" spans="1:65" x14ac:dyDescent="0.2">
      <c r="A74" s="10" t="s">
        <v>70</v>
      </c>
      <c r="B74" s="12">
        <v>1.4883558045876381E-2</v>
      </c>
      <c r="C74" s="12">
        <v>2.5651988029072249E-2</v>
      </c>
      <c r="D74" s="12">
        <v>1.754385964912281E-2</v>
      </c>
      <c r="E74" s="12">
        <v>9.9009900990099011E-3</v>
      </c>
      <c r="F74" s="12">
        <v>6.9041701187517257E-3</v>
      </c>
      <c r="G74" s="12">
        <v>7.6586433260393869E-2</v>
      </c>
      <c r="H74" s="12">
        <v>6.6974595842956119E-2</v>
      </c>
      <c r="I74" s="12">
        <v>7.3145245559038674E-3</v>
      </c>
      <c r="J74" s="13">
        <v>2.1933999999999999E-2</v>
      </c>
      <c r="L74" s="7" t="s">
        <v>70</v>
      </c>
      <c r="M74" s="11">
        <f t="shared" si="9"/>
        <v>-7.050441954123618E-3</v>
      </c>
      <c r="N74" s="11">
        <f t="shared" si="10"/>
        <v>3.71798802907225E-3</v>
      </c>
      <c r="O74" s="11">
        <f t="shared" si="11"/>
        <v>-4.3901403508771891E-3</v>
      </c>
      <c r="P74" s="11">
        <f t="shared" si="12"/>
        <v>-1.2033009900990098E-2</v>
      </c>
      <c r="Q74" s="11">
        <f t="shared" si="13"/>
        <v>-1.5029829881248274E-2</v>
      </c>
      <c r="R74" s="11">
        <f t="shared" si="14"/>
        <v>5.4652433260393873E-2</v>
      </c>
      <c r="S74" s="11">
        <f t="shared" si="15"/>
        <v>4.5040595842956124E-2</v>
      </c>
      <c r="T74" s="11">
        <f t="shared" si="16"/>
        <v>-1.4619475444096131E-2</v>
      </c>
      <c r="V74" s="3">
        <v>71</v>
      </c>
      <c r="W74" s="4" t="s">
        <v>70</v>
      </c>
      <c r="X74" s="5">
        <v>2.1933999999999999E-2</v>
      </c>
      <c r="Y74" s="5">
        <v>0.14647199999999999</v>
      </c>
      <c r="AA74" s="7" t="s">
        <v>8</v>
      </c>
      <c r="AB74" s="15">
        <v>9.2803361933111537E-3</v>
      </c>
      <c r="AC74" s="15">
        <v>-3.2386638066888469E-3</v>
      </c>
      <c r="AD74" s="15">
        <v>-2.9127293881543725E-2</v>
      </c>
      <c r="AF74" s="7" t="s">
        <v>21</v>
      </c>
      <c r="AG74" s="15">
        <v>5.3014108593415987E-2</v>
      </c>
      <c r="AH74" s="15">
        <v>-3.773891406584011E-3</v>
      </c>
      <c r="AI74" s="15">
        <v>-1.6305921572845196E-2</v>
      </c>
      <c r="AK74" s="7" t="s">
        <v>16</v>
      </c>
      <c r="AL74" s="15">
        <v>9.8245614035087719E-2</v>
      </c>
      <c r="AM74" s="15">
        <v>-1.4028385964912279E-2</v>
      </c>
      <c r="AN74" s="15">
        <v>-4.4434264136860226E-2</v>
      </c>
      <c r="AP74" s="7" t="s">
        <v>39</v>
      </c>
      <c r="AQ74" s="15">
        <v>5.9405940594059403E-2</v>
      </c>
      <c r="AR74" s="15">
        <v>-2.3823059405940594E-2</v>
      </c>
      <c r="AS74" s="15">
        <v>-8.6242001940161794E-2</v>
      </c>
      <c r="AU74" s="7" t="s">
        <v>7</v>
      </c>
      <c r="AV74" s="15">
        <v>6.9041701187517257E-3</v>
      </c>
      <c r="AW74" s="15">
        <v>-1.5088298812482746E-3</v>
      </c>
      <c r="AX74" s="15">
        <v>-1.651919114988586E-2</v>
      </c>
      <c r="AZ74" s="7" t="s">
        <v>8</v>
      </c>
      <c r="BA74" s="15">
        <v>1.0393873085339169E-2</v>
      </c>
      <c r="BB74" s="15">
        <v>-2.1251269146608312E-3</v>
      </c>
      <c r="BC74" s="15">
        <v>-1.9112572305610497E-2</v>
      </c>
      <c r="BE74" s="7" t="s">
        <v>7</v>
      </c>
      <c r="BF74" s="15">
        <v>5.3887605850654347E-3</v>
      </c>
      <c r="BG74" s="15">
        <v>-3.0242394149345656E-3</v>
      </c>
      <c r="BH74" s="15">
        <v>-3.3110418609281628E-2</v>
      </c>
      <c r="BJ74" s="7" t="s">
        <v>101</v>
      </c>
      <c r="BK74" s="15">
        <v>4.3887147335423199E-3</v>
      </c>
      <c r="BL74" s="15">
        <v>-2.47228526645768E-3</v>
      </c>
      <c r="BM74" s="15">
        <v>-2.9950394524964022E-2</v>
      </c>
    </row>
    <row r="75" spans="1:65" x14ac:dyDescent="0.2">
      <c r="A75" s="10" t="s">
        <v>71</v>
      </c>
      <c r="B75" s="12">
        <v>0.15618980914025571</v>
      </c>
      <c r="C75" s="12">
        <v>0.8127404873877726</v>
      </c>
      <c r="D75" s="12">
        <v>0.94736842105263153</v>
      </c>
      <c r="E75" s="12">
        <v>0.86138613861386137</v>
      </c>
      <c r="F75" s="12">
        <v>1.436895885114609</v>
      </c>
      <c r="G75" s="12">
        <v>1.4157549234135669</v>
      </c>
      <c r="H75" s="12">
        <v>0.67128560431100848</v>
      </c>
      <c r="I75" s="12">
        <v>1.6566353187042839</v>
      </c>
      <c r="J75" s="13">
        <v>0.98853199999999997</v>
      </c>
      <c r="L75" s="7" t="s">
        <v>71</v>
      </c>
      <c r="M75" s="11">
        <f t="shared" si="9"/>
        <v>-0.83234219085974426</v>
      </c>
      <c r="N75" s="11">
        <f t="shared" si="10"/>
        <v>-0.17579151261222736</v>
      </c>
      <c r="O75" s="11">
        <f t="shared" si="11"/>
        <v>-4.116357894736844E-2</v>
      </c>
      <c r="P75" s="11">
        <f t="shared" si="12"/>
        <v>-0.12714586138613859</v>
      </c>
      <c r="Q75" s="11">
        <f t="shared" si="13"/>
        <v>0.44836388511460901</v>
      </c>
      <c r="R75" s="11">
        <f t="shared" si="14"/>
        <v>0.42722292341356694</v>
      </c>
      <c r="S75" s="11">
        <f t="shared" si="15"/>
        <v>-0.31724639568899149</v>
      </c>
      <c r="T75" s="11">
        <f t="shared" si="16"/>
        <v>0.66810331870428397</v>
      </c>
      <c r="V75" s="3">
        <v>72</v>
      </c>
      <c r="W75" s="4" t="s">
        <v>71</v>
      </c>
      <c r="X75" s="5">
        <v>0.98853199999999997</v>
      </c>
      <c r="Y75" s="5">
        <v>0.81121600000000005</v>
      </c>
      <c r="AA75" s="7" t="s">
        <v>18</v>
      </c>
      <c r="AB75" s="15">
        <v>0.1041849063211347</v>
      </c>
      <c r="AC75" s="15">
        <v>-9.2410936788653031E-3</v>
      </c>
      <c r="AD75" s="15">
        <v>-2.9140592010195802E-2</v>
      </c>
      <c r="AF75" s="7" t="s">
        <v>10</v>
      </c>
      <c r="AG75" s="15">
        <v>0.46002565198802908</v>
      </c>
      <c r="AH75" s="15">
        <v>-8.5503480119709097E-3</v>
      </c>
      <c r="AI75" s="15">
        <v>-1.7134141868869853E-2</v>
      </c>
      <c r="AK75" s="7" t="s">
        <v>29</v>
      </c>
      <c r="AL75" s="15">
        <v>0.32631578947368423</v>
      </c>
      <c r="AM75" s="15">
        <v>-2.1974210526315763E-2</v>
      </c>
      <c r="AN75" s="15">
        <v>-4.6121674347904804E-2</v>
      </c>
      <c r="AP75" s="7" t="s">
        <v>54</v>
      </c>
      <c r="AQ75" s="15">
        <v>6.9306930693069313E-2</v>
      </c>
      <c r="AR75" s="15">
        <v>-2.6992069306930683E-2</v>
      </c>
      <c r="AS75" s="15">
        <v>-9.1495748627772988E-2</v>
      </c>
      <c r="AU75" s="7" t="s">
        <v>26</v>
      </c>
      <c r="AV75" s="15">
        <v>8.4230875448771059E-2</v>
      </c>
      <c r="AW75" s="15">
        <v>-5.0071245512289392E-3</v>
      </c>
      <c r="AX75" s="15">
        <v>-1.7563003739907539E-2</v>
      </c>
      <c r="AZ75" s="7" t="s">
        <v>37</v>
      </c>
      <c r="BA75" s="15">
        <v>0.100656455142232</v>
      </c>
      <c r="BB75" s="15">
        <v>-7.360544857768006E-3</v>
      </c>
      <c r="BC75" s="15">
        <v>-2.3712331618723641E-2</v>
      </c>
      <c r="BE75" s="7" t="s">
        <v>20</v>
      </c>
      <c r="BF75" s="15">
        <v>0.1070053887605851</v>
      </c>
      <c r="BG75" s="15">
        <v>-1.0726611239414902E-2</v>
      </c>
      <c r="BH75" s="15">
        <v>-3.3281552966080881E-2</v>
      </c>
      <c r="BJ75" s="7" t="s">
        <v>53</v>
      </c>
      <c r="BK75" s="15">
        <v>3.1347962382445138E-2</v>
      </c>
      <c r="BL75" s="15">
        <v>-6.0100376175548642E-3</v>
      </c>
      <c r="BM75" s="15">
        <v>-3.1691490374257093E-2</v>
      </c>
    </row>
    <row r="76" spans="1:65" x14ac:dyDescent="0.2">
      <c r="A76" s="10" t="s">
        <v>72</v>
      </c>
      <c r="B76" s="12">
        <v>2.9537734197163368</v>
      </c>
      <c r="C76" s="12">
        <v>2.925609234715691</v>
      </c>
      <c r="D76" s="12">
        <v>3.214035087719298</v>
      </c>
      <c r="E76" s="12">
        <v>2.3663366336633662</v>
      </c>
      <c r="F76" s="12">
        <v>5.0527478597072628</v>
      </c>
      <c r="G76" s="12">
        <v>2.8791028446389491</v>
      </c>
      <c r="H76" s="12">
        <v>3.0946882217090068</v>
      </c>
      <c r="I76" s="12">
        <v>2.081504702194358</v>
      </c>
      <c r="J76" s="13">
        <v>3.1251440000000001</v>
      </c>
      <c r="L76" s="7" t="s">
        <v>72</v>
      </c>
      <c r="M76" s="11">
        <f t="shared" si="9"/>
        <v>-0.17137058028366337</v>
      </c>
      <c r="N76" s="11">
        <f t="shared" si="10"/>
        <v>-0.19953476528430913</v>
      </c>
      <c r="O76" s="11">
        <f t="shared" si="11"/>
        <v>8.8891087719297879E-2</v>
      </c>
      <c r="P76" s="11">
        <f t="shared" si="12"/>
        <v>-0.75880736633663393</v>
      </c>
      <c r="Q76" s="11">
        <f t="shared" si="13"/>
        <v>1.9276038597072627</v>
      </c>
      <c r="R76" s="11">
        <f t="shared" si="14"/>
        <v>-0.24604115536105109</v>
      </c>
      <c r="S76" s="11">
        <f t="shared" si="15"/>
        <v>-3.0455778290993329E-2</v>
      </c>
      <c r="T76" s="11">
        <f t="shared" si="16"/>
        <v>-1.0436392978056421</v>
      </c>
      <c r="V76" s="3">
        <v>73</v>
      </c>
      <c r="W76" s="4" t="s">
        <v>72</v>
      </c>
      <c r="X76" s="5">
        <v>3.1251440000000001</v>
      </c>
      <c r="Y76" s="5">
        <v>1.7135670000000001</v>
      </c>
      <c r="AA76" s="7" t="s">
        <v>83</v>
      </c>
      <c r="AB76" s="15">
        <v>7.0040273157065316E-3</v>
      </c>
      <c r="AC76" s="15">
        <v>-3.0619726842934687E-3</v>
      </c>
      <c r="AD76" s="15">
        <v>-3.0673712577070331E-2</v>
      </c>
      <c r="AF76" s="7" t="s">
        <v>111</v>
      </c>
      <c r="AG76" s="15">
        <v>0</v>
      </c>
      <c r="AH76" s="15">
        <v>-3.5100000000000002E-4</v>
      </c>
      <c r="AI76" s="15">
        <v>-1.8749999999999999E-2</v>
      </c>
      <c r="AK76" s="7" t="s">
        <v>68</v>
      </c>
      <c r="AL76" s="15">
        <v>0.10175438596491231</v>
      </c>
      <c r="AM76" s="15">
        <v>-1.4926614035087701E-2</v>
      </c>
      <c r="AN76" s="15">
        <v>-4.6493402964938889E-2</v>
      </c>
      <c r="AP76" s="7" t="s">
        <v>83</v>
      </c>
      <c r="AQ76" s="15">
        <v>0</v>
      </c>
      <c r="AR76" s="15">
        <v>-1.0066E-2</v>
      </c>
      <c r="AS76" s="15">
        <v>-0.10083747395415933</v>
      </c>
      <c r="AU76" s="7" t="s">
        <v>111</v>
      </c>
      <c r="AV76" s="15">
        <v>0</v>
      </c>
      <c r="AW76" s="15">
        <v>-3.5100000000000002E-4</v>
      </c>
      <c r="AX76" s="15">
        <v>-1.8749999999999999E-2</v>
      </c>
      <c r="AZ76" s="7" t="s">
        <v>82</v>
      </c>
      <c r="BA76" s="15">
        <v>1.6411378555798691E-3</v>
      </c>
      <c r="BB76" s="15">
        <v>-1.5638621444201309E-3</v>
      </c>
      <c r="BC76" s="15">
        <v>-2.766771304460363E-2</v>
      </c>
      <c r="BE76" s="7" t="s">
        <v>74</v>
      </c>
      <c r="BF76" s="15">
        <v>0.14780600461893759</v>
      </c>
      <c r="BG76" s="15">
        <v>-1.2441995381062415E-2</v>
      </c>
      <c r="BH76" s="15">
        <v>-3.3916219059991044E-2</v>
      </c>
      <c r="BJ76" s="7" t="s">
        <v>92</v>
      </c>
      <c r="BK76" s="15">
        <v>9.1954022988505746E-3</v>
      </c>
      <c r="BL76" s="15">
        <v>-3.774597701149426E-3</v>
      </c>
      <c r="BM76" s="15">
        <v>-3.3359826962468857E-2</v>
      </c>
    </row>
    <row r="77" spans="1:65" x14ac:dyDescent="0.2">
      <c r="A77" s="10" t="s">
        <v>73</v>
      </c>
      <c r="B77" s="12">
        <v>0.18980914025564699</v>
      </c>
      <c r="C77" s="12">
        <v>0.21504916631038909</v>
      </c>
      <c r="D77" s="12">
        <v>0.17192982456140349</v>
      </c>
      <c r="E77" s="12">
        <v>0.38613861386138609</v>
      </c>
      <c r="F77" s="12">
        <v>0</v>
      </c>
      <c r="G77" s="12">
        <v>0.224835886214442</v>
      </c>
      <c r="H77" s="12">
        <v>0.22709776751347191</v>
      </c>
      <c r="I77" s="12">
        <v>0.32225705329153598</v>
      </c>
      <c r="J77" s="13">
        <v>0.19645499999999999</v>
      </c>
      <c r="L77" s="7" t="s">
        <v>73</v>
      </c>
      <c r="M77" s="11">
        <f t="shared" si="9"/>
        <v>-6.6458597443529999E-3</v>
      </c>
      <c r="N77" s="11">
        <f t="shared" si="10"/>
        <v>1.8594166310389099E-2</v>
      </c>
      <c r="O77" s="11">
        <f t="shared" si="11"/>
        <v>-2.4525175438596503E-2</v>
      </c>
      <c r="P77" s="11">
        <f t="shared" si="12"/>
        <v>0.1896836138613861</v>
      </c>
      <c r="Q77" s="11">
        <f t="shared" si="13"/>
        <v>-0.19645499999999999</v>
      </c>
      <c r="R77" s="11">
        <f t="shared" si="14"/>
        <v>2.8380886214442014E-2</v>
      </c>
      <c r="S77" s="11">
        <f t="shared" si="15"/>
        <v>3.0642767513471919E-2</v>
      </c>
      <c r="T77" s="11">
        <f t="shared" si="16"/>
        <v>0.12580205329153599</v>
      </c>
      <c r="V77" s="3">
        <v>74</v>
      </c>
      <c r="W77" s="4" t="s">
        <v>73</v>
      </c>
      <c r="X77" s="5">
        <v>0.19645499999999999</v>
      </c>
      <c r="Y77" s="5">
        <v>0.39732600000000001</v>
      </c>
      <c r="AA77" s="7" t="s">
        <v>16</v>
      </c>
      <c r="AB77" s="15">
        <v>0.10243389949220801</v>
      </c>
      <c r="AC77" s="15">
        <v>-9.8401005077919934E-3</v>
      </c>
      <c r="AD77" s="15">
        <v>-3.1168063538463953E-2</v>
      </c>
      <c r="AF77" s="7" t="s">
        <v>89</v>
      </c>
      <c r="AG77" s="15">
        <v>4.2753313381787093E-3</v>
      </c>
      <c r="AH77" s="15">
        <v>-1.6336686618212909E-3</v>
      </c>
      <c r="AI77" s="15">
        <v>-2.1314467314945212E-2</v>
      </c>
      <c r="AK77" s="7" t="s">
        <v>40</v>
      </c>
      <c r="AL77" s="15">
        <v>0.10877192982456139</v>
      </c>
      <c r="AM77" s="15">
        <v>-1.5420070175438602E-2</v>
      </c>
      <c r="AN77" s="15">
        <v>-4.6754546344819584E-2</v>
      </c>
      <c r="AP77" s="7" t="s">
        <v>19</v>
      </c>
      <c r="AQ77" s="15">
        <v>8.9108910891089105E-2</v>
      </c>
      <c r="AR77" s="15">
        <v>-3.3331089108910888E-2</v>
      </c>
      <c r="AS77" s="15">
        <v>-0.10168086463711486</v>
      </c>
      <c r="AU77" s="7" t="s">
        <v>48</v>
      </c>
      <c r="AV77" s="15">
        <v>2.1264843965755311E-2</v>
      </c>
      <c r="AW77" s="15">
        <v>-3.4231560342446905E-3</v>
      </c>
      <c r="AX77" s="15">
        <v>-2.2059686901052929E-2</v>
      </c>
      <c r="AZ77" s="7" t="s">
        <v>3</v>
      </c>
      <c r="BA77" s="15">
        <v>0.15207877461706781</v>
      </c>
      <c r="BB77" s="15">
        <v>-1.2226225382932193E-2</v>
      </c>
      <c r="BC77" s="15">
        <v>-3.2993826611360057E-2</v>
      </c>
      <c r="BE77" s="7" t="s">
        <v>87</v>
      </c>
      <c r="BF77" s="15">
        <v>5.2347959969207082E-2</v>
      </c>
      <c r="BG77" s="15">
        <v>-8.7470400307929144E-3</v>
      </c>
      <c r="BH77" s="15">
        <v>-3.6520562944315119E-2</v>
      </c>
      <c r="BJ77" s="7" t="s">
        <v>67</v>
      </c>
      <c r="BK77" s="15">
        <v>0.1076280041797283</v>
      </c>
      <c r="BL77" s="15">
        <v>-1.2157995820271703E-2</v>
      </c>
      <c r="BM77" s="15">
        <v>-3.7441590483684978E-2</v>
      </c>
    </row>
    <row r="78" spans="1:65" x14ac:dyDescent="0.2">
      <c r="A78" s="10" t="s">
        <v>74</v>
      </c>
      <c r="B78" s="12">
        <v>0.1787777972334092</v>
      </c>
      <c r="C78" s="12">
        <v>0.15861479264643011</v>
      </c>
      <c r="D78" s="12">
        <v>0.15438596491228071</v>
      </c>
      <c r="E78" s="12">
        <v>0.11881188118811881</v>
      </c>
      <c r="F78" s="12">
        <v>4.1425020712510356E-3</v>
      </c>
      <c r="G78" s="12">
        <v>0.1597374179431072</v>
      </c>
      <c r="H78" s="12">
        <v>0.14780600461893759</v>
      </c>
      <c r="I78" s="12">
        <v>0.26185997910135839</v>
      </c>
      <c r="J78" s="13">
        <v>0.160248</v>
      </c>
      <c r="L78" s="7" t="s">
        <v>74</v>
      </c>
      <c r="M78" s="11">
        <f t="shared" si="9"/>
        <v>1.8529797233409195E-2</v>
      </c>
      <c r="N78" s="11">
        <f t="shared" si="10"/>
        <v>-1.6332073535698932E-3</v>
      </c>
      <c r="O78" s="11">
        <f t="shared" si="11"/>
        <v>-5.8620350877192917E-3</v>
      </c>
      <c r="P78" s="11">
        <f t="shared" si="12"/>
        <v>-4.1436118811881195E-2</v>
      </c>
      <c r="Q78" s="11">
        <f t="shared" si="13"/>
        <v>-0.15610549792874898</v>
      </c>
      <c r="R78" s="11">
        <f t="shared" si="14"/>
        <v>-5.1058205689280545E-4</v>
      </c>
      <c r="S78" s="11">
        <f t="shared" si="15"/>
        <v>-1.2441995381062415E-2</v>
      </c>
      <c r="T78" s="11">
        <f t="shared" si="16"/>
        <v>0.10161197910135839</v>
      </c>
      <c r="V78" s="3">
        <v>75</v>
      </c>
      <c r="W78" s="4" t="s">
        <v>74</v>
      </c>
      <c r="X78" s="5">
        <v>0.160248</v>
      </c>
      <c r="Y78" s="5">
        <v>0.36684499999999998</v>
      </c>
      <c r="AA78" s="7" t="s">
        <v>82</v>
      </c>
      <c r="AB78" s="15">
        <v>1.4008054631413061E-3</v>
      </c>
      <c r="AC78" s="15">
        <v>-1.8041945368586939E-3</v>
      </c>
      <c r="AD78" s="15">
        <v>-3.1919652829090706E-2</v>
      </c>
      <c r="AF78" s="7" t="s">
        <v>90</v>
      </c>
      <c r="AG78" s="15">
        <v>0.25138948268490813</v>
      </c>
      <c r="AH78" s="15">
        <v>-9.8155173150918928E-3</v>
      </c>
      <c r="AI78" s="15">
        <v>-2.2343438716627497E-2</v>
      </c>
      <c r="AK78" s="7" t="s">
        <v>75</v>
      </c>
      <c r="AL78" s="15">
        <v>9.1228070175438603E-2</v>
      </c>
      <c r="AM78" s="15">
        <v>-1.5086929824561404E-2</v>
      </c>
      <c r="AN78" s="15">
        <v>-4.8944128833151891E-2</v>
      </c>
      <c r="AP78" s="7" t="s">
        <v>25</v>
      </c>
      <c r="AQ78" s="15">
        <v>7.9207920792079209E-2</v>
      </c>
      <c r="AR78" s="15">
        <v>-3.4268079207920785E-2</v>
      </c>
      <c r="AS78" s="15">
        <v>-0.10803916744304778</v>
      </c>
      <c r="AU78" s="7" t="s">
        <v>1</v>
      </c>
      <c r="AV78" s="15">
        <v>0.14222590444628561</v>
      </c>
      <c r="AW78" s="15">
        <v>-8.0070955537143995E-3</v>
      </c>
      <c r="AX78" s="15">
        <v>-2.2409505395105622E-2</v>
      </c>
      <c r="AZ78" s="7" t="s">
        <v>98</v>
      </c>
      <c r="BA78" s="15">
        <v>0.33588621444201311</v>
      </c>
      <c r="BB78" s="15">
        <v>-1.6509785557986878E-2</v>
      </c>
      <c r="BC78" s="15">
        <v>-3.455889334326967E-2</v>
      </c>
      <c r="BE78" s="7" t="s">
        <v>83</v>
      </c>
      <c r="BF78" s="15">
        <v>6.1585835257890681E-3</v>
      </c>
      <c r="BG78" s="15">
        <v>-3.9074164742109322E-3</v>
      </c>
      <c r="BH78" s="15">
        <v>-3.9143056521587317E-2</v>
      </c>
      <c r="BJ78" s="7" t="s">
        <v>12</v>
      </c>
      <c r="BK78" s="15">
        <v>0.40125391849529779</v>
      </c>
      <c r="BL78" s="15">
        <v>-1.9098081504702213E-2</v>
      </c>
      <c r="BM78" s="15">
        <v>-3.868921840880625E-2</v>
      </c>
    </row>
    <row r="79" spans="1:65" x14ac:dyDescent="0.2">
      <c r="A79" s="10" t="s">
        <v>75</v>
      </c>
      <c r="B79" s="12">
        <v>0.12187007529329361</v>
      </c>
      <c r="C79" s="12">
        <v>0.1115861479264643</v>
      </c>
      <c r="D79" s="12">
        <v>9.1228070175438603E-2</v>
      </c>
      <c r="E79" s="12">
        <v>1.9801980198019799E-2</v>
      </c>
      <c r="F79" s="12">
        <v>7.815520574426954E-2</v>
      </c>
      <c r="G79" s="12">
        <v>0.1137855579868709</v>
      </c>
      <c r="H79" s="12">
        <v>0.11316397228637411</v>
      </c>
      <c r="I79" s="12">
        <v>0.1044932079414838</v>
      </c>
      <c r="J79" s="13">
        <v>0.10631500000000001</v>
      </c>
      <c r="L79" s="7" t="s">
        <v>75</v>
      </c>
      <c r="M79" s="11">
        <f t="shared" si="9"/>
        <v>1.5555075293293599E-2</v>
      </c>
      <c r="N79" s="11">
        <f t="shared" si="10"/>
        <v>5.271147926464298E-3</v>
      </c>
      <c r="O79" s="11">
        <f t="shared" si="11"/>
        <v>-1.5086929824561404E-2</v>
      </c>
      <c r="P79" s="11">
        <f t="shared" si="12"/>
        <v>-8.6513019801980201E-2</v>
      </c>
      <c r="Q79" s="11">
        <f t="shared" si="13"/>
        <v>-2.8159794255730466E-2</v>
      </c>
      <c r="R79" s="11">
        <f t="shared" si="14"/>
        <v>7.4705579868708932E-3</v>
      </c>
      <c r="S79" s="11">
        <f t="shared" si="15"/>
        <v>6.8489722863740998E-3</v>
      </c>
      <c r="T79" s="11">
        <f t="shared" si="16"/>
        <v>-1.8217920585162084E-3</v>
      </c>
      <c r="V79" s="3">
        <v>76</v>
      </c>
      <c r="W79" s="4" t="s">
        <v>75</v>
      </c>
      <c r="X79" s="5">
        <v>0.10631500000000001</v>
      </c>
      <c r="Y79" s="5">
        <v>0.30824800000000002</v>
      </c>
      <c r="AA79" s="7" t="s">
        <v>34</v>
      </c>
      <c r="AB79" s="15">
        <v>0.10821222202766589</v>
      </c>
      <c r="AC79" s="15">
        <v>-1.0421777972334109E-2</v>
      </c>
      <c r="AD79" s="15">
        <v>-3.2229146544412994E-2</v>
      </c>
      <c r="AF79" s="7" t="s">
        <v>51</v>
      </c>
      <c r="AG79" s="15">
        <v>0.1705857203933305</v>
      </c>
      <c r="AH79" s="15">
        <v>-8.8922796066694954E-3</v>
      </c>
      <c r="AI79" s="15">
        <v>-2.3171339545524298E-2</v>
      </c>
      <c r="AK79" s="7" t="s">
        <v>71</v>
      </c>
      <c r="AL79" s="15">
        <v>0.94736842105263153</v>
      </c>
      <c r="AM79" s="15">
        <v>-4.116357894736844E-2</v>
      </c>
      <c r="AN79" s="15">
        <v>-5.0743056038550075E-2</v>
      </c>
      <c r="AP79" s="7" t="s">
        <v>4</v>
      </c>
      <c r="AQ79" s="15">
        <v>0.11881188118811881</v>
      </c>
      <c r="AR79" s="15">
        <v>-4.0084118811881203E-2</v>
      </c>
      <c r="AS79" s="15">
        <v>-0.10964257352349552</v>
      </c>
      <c r="AU79" s="7" t="s">
        <v>0</v>
      </c>
      <c r="AV79" s="15">
        <v>3.590168461750897E-3</v>
      </c>
      <c r="AW79" s="15">
        <v>-1.6678315382491027E-3</v>
      </c>
      <c r="AX79" s="15">
        <v>-2.3060554425212969E-2</v>
      </c>
      <c r="AZ79" s="7" t="s">
        <v>78</v>
      </c>
      <c r="BA79" s="15">
        <v>0.14223194748358861</v>
      </c>
      <c r="BB79" s="15">
        <v>-1.315905251641139E-2</v>
      </c>
      <c r="BC79" s="15">
        <v>-3.6322277196500531E-2</v>
      </c>
      <c r="BE79" s="7" t="s">
        <v>17</v>
      </c>
      <c r="BF79" s="15">
        <v>0.1031562740569669</v>
      </c>
      <c r="BG79" s="15">
        <v>-1.2873725943033099E-2</v>
      </c>
      <c r="BH79" s="15">
        <v>-4.0196603302327411E-2</v>
      </c>
      <c r="BJ79" s="7" t="s">
        <v>107</v>
      </c>
      <c r="BK79" s="15">
        <v>0.41713688610240329</v>
      </c>
      <c r="BL79" s="15">
        <v>-2.0692113897596731E-2</v>
      </c>
      <c r="BM79" s="15">
        <v>-4.1706872158209368E-2</v>
      </c>
    </row>
    <row r="80" spans="1:65" x14ac:dyDescent="0.2">
      <c r="A80" s="10" t="s">
        <v>76</v>
      </c>
      <c r="B80" s="12">
        <v>6.1635440378217478E-2</v>
      </c>
      <c r="C80" s="12">
        <v>6.5840102607952117E-2</v>
      </c>
      <c r="D80" s="12">
        <v>7.0175438596491224E-2</v>
      </c>
      <c r="E80" s="12">
        <v>0.1386138613861386</v>
      </c>
      <c r="F80" s="12">
        <v>2.2093344380005519E-3</v>
      </c>
      <c r="G80" s="12">
        <v>6.7833698030634576E-2</v>
      </c>
      <c r="H80" s="12">
        <v>6.6974595842956119E-2</v>
      </c>
      <c r="I80" s="12">
        <v>9.1536050156739809E-2</v>
      </c>
      <c r="J80" s="13">
        <v>5.9943000000000003E-2</v>
      </c>
      <c r="L80" s="7" t="s">
        <v>76</v>
      </c>
      <c r="M80" s="11">
        <f t="shared" si="9"/>
        <v>1.6924403782174746E-3</v>
      </c>
      <c r="N80" s="11">
        <f t="shared" si="10"/>
        <v>5.8971026079521136E-3</v>
      </c>
      <c r="O80" s="11">
        <f t="shared" si="11"/>
        <v>1.0232438596491221E-2</v>
      </c>
      <c r="P80" s="11">
        <f t="shared" si="12"/>
        <v>7.8670861386138602E-2</v>
      </c>
      <c r="Q80" s="11">
        <f t="shared" si="13"/>
        <v>-5.773366556199945E-2</v>
      </c>
      <c r="R80" s="11">
        <f t="shared" si="14"/>
        <v>7.8906980306345728E-3</v>
      </c>
      <c r="S80" s="11">
        <f t="shared" si="15"/>
        <v>7.0315958429561162E-3</v>
      </c>
      <c r="T80" s="11">
        <f t="shared" si="16"/>
        <v>3.1593050156739806E-2</v>
      </c>
      <c r="V80" s="3">
        <v>77</v>
      </c>
      <c r="W80" s="4" t="s">
        <v>76</v>
      </c>
      <c r="X80" s="5">
        <v>5.9943000000000003E-2</v>
      </c>
      <c r="Y80" s="5">
        <v>0.23738699999999999</v>
      </c>
      <c r="AA80" s="7" t="s">
        <v>28</v>
      </c>
      <c r="AB80" s="15">
        <v>0.41288741026089998</v>
      </c>
      <c r="AC80" s="15">
        <v>-1.8080589739100039E-2</v>
      </c>
      <c r="AD80" s="15">
        <v>-3.6509922255585428E-2</v>
      </c>
      <c r="AF80" s="7" t="s">
        <v>23</v>
      </c>
      <c r="AG80" s="15">
        <v>5.9854638734501923E-3</v>
      </c>
      <c r="AH80" s="15">
        <v>-2.4275361265498081E-3</v>
      </c>
      <c r="AI80" s="15">
        <v>-2.6577504724756486E-2</v>
      </c>
      <c r="AK80" s="7" t="s">
        <v>110</v>
      </c>
      <c r="AL80" s="15">
        <v>0</v>
      </c>
      <c r="AM80" s="15">
        <v>-3.2049999999999999E-3</v>
      </c>
      <c r="AN80" s="15">
        <v>-5.670258125011058E-2</v>
      </c>
      <c r="AP80" s="7" t="s">
        <v>8</v>
      </c>
      <c r="AQ80" s="15">
        <v>0</v>
      </c>
      <c r="AR80" s="15">
        <v>-1.2519000000000001E-2</v>
      </c>
      <c r="AS80" s="15">
        <v>-0.11259106034715353</v>
      </c>
      <c r="AU80" s="7" t="s">
        <v>39</v>
      </c>
      <c r="AV80" s="15">
        <v>7.6774371720519194E-2</v>
      </c>
      <c r="AW80" s="15">
        <v>-6.4546282794808035E-3</v>
      </c>
      <c r="AX80" s="15">
        <v>-2.3366439008383453E-2</v>
      </c>
      <c r="AZ80" s="7" t="s">
        <v>23</v>
      </c>
      <c r="BA80" s="15">
        <v>4.9234135667396064E-3</v>
      </c>
      <c r="BB80" s="15">
        <v>-3.489586433260394E-3</v>
      </c>
      <c r="BC80" s="15">
        <v>-3.8205198638687009E-2</v>
      </c>
      <c r="BE80" s="7" t="s">
        <v>32</v>
      </c>
      <c r="BF80" s="15">
        <v>0.10469591993841421</v>
      </c>
      <c r="BG80" s="15">
        <v>-1.3838080061585795E-2</v>
      </c>
      <c r="BH80" s="15">
        <v>-4.2809616366387915E-2</v>
      </c>
      <c r="BJ80" s="7" t="s">
        <v>109</v>
      </c>
      <c r="BK80" s="15">
        <v>1.943573667711599E-2</v>
      </c>
      <c r="BL80" s="15">
        <v>-6.8552633228840081E-3</v>
      </c>
      <c r="BM80" s="15">
        <v>-4.2844592431916947E-2</v>
      </c>
    </row>
    <row r="81" spans="1:65" x14ac:dyDescent="0.2">
      <c r="A81" s="10" t="s">
        <v>77</v>
      </c>
      <c r="B81" s="12">
        <v>0.1225704780248643</v>
      </c>
      <c r="C81" s="12">
        <v>0.11415134672937149</v>
      </c>
      <c r="D81" s="12">
        <v>0.1228070175438596</v>
      </c>
      <c r="E81" s="12">
        <v>6.9306930693069313E-2</v>
      </c>
      <c r="F81" s="12">
        <v>4.8329190831262081E-2</v>
      </c>
      <c r="G81" s="12">
        <v>0.10503282275711159</v>
      </c>
      <c r="H81" s="12">
        <v>8.6220169361046956E-2</v>
      </c>
      <c r="I81" s="12">
        <v>0.13061650992685481</v>
      </c>
      <c r="J81" s="13">
        <v>0.10581400000000001</v>
      </c>
      <c r="L81" s="7" t="s">
        <v>77</v>
      </c>
      <c r="M81" s="11">
        <f t="shared" si="9"/>
        <v>1.6756478024864296E-2</v>
      </c>
      <c r="N81" s="11">
        <f t="shared" si="10"/>
        <v>8.3373467293714892E-3</v>
      </c>
      <c r="O81" s="11">
        <f t="shared" si="11"/>
        <v>1.6993017543859595E-2</v>
      </c>
      <c r="P81" s="11">
        <f t="shared" si="12"/>
        <v>-3.6507069306930692E-2</v>
      </c>
      <c r="Q81" s="11">
        <f t="shared" si="13"/>
        <v>-5.7484809168737924E-2</v>
      </c>
      <c r="R81" s="11">
        <f t="shared" si="14"/>
        <v>-7.8117724288841173E-4</v>
      </c>
      <c r="S81" s="11">
        <f t="shared" si="15"/>
        <v>-1.959383063895305E-2</v>
      </c>
      <c r="T81" s="11">
        <f t="shared" si="16"/>
        <v>2.4802509926854802E-2</v>
      </c>
      <c r="V81" s="3">
        <v>78</v>
      </c>
      <c r="W81" s="4" t="s">
        <v>77</v>
      </c>
      <c r="X81" s="5">
        <v>0.10581400000000001</v>
      </c>
      <c r="Y81" s="5">
        <v>0.30760700000000002</v>
      </c>
      <c r="AA81" s="7" t="s">
        <v>66</v>
      </c>
      <c r="AB81" s="15">
        <v>0.1031343022237787</v>
      </c>
      <c r="AC81" s="15">
        <v>-1.1993697776221293E-2</v>
      </c>
      <c r="AD81" s="15">
        <v>-3.7576006943375449E-2</v>
      </c>
      <c r="AF81" s="7" t="s">
        <v>65</v>
      </c>
      <c r="AG81" s="15">
        <v>0.1000427533133818</v>
      </c>
      <c r="AH81" s="15">
        <v>-9.5772466866181905E-3</v>
      </c>
      <c r="AI81" s="15">
        <v>-3.0654742725785843E-2</v>
      </c>
      <c r="AK81" s="7" t="s">
        <v>57</v>
      </c>
      <c r="AL81" s="15">
        <v>0.48771929824561411</v>
      </c>
      <c r="AM81" s="15">
        <v>-3.0183701754385894E-2</v>
      </c>
      <c r="AN81" s="15">
        <v>-6.0404612750225926E-2</v>
      </c>
      <c r="AP81" s="7" t="s">
        <v>74</v>
      </c>
      <c r="AQ81" s="15">
        <v>0.11881188118811881</v>
      </c>
      <c r="AR81" s="15">
        <v>-4.1436118811881195E-2</v>
      </c>
      <c r="AS81" s="15">
        <v>-0.11295266069288445</v>
      </c>
      <c r="AU81" s="7" t="s">
        <v>31</v>
      </c>
      <c r="AV81" s="15">
        <v>0.1112952223142778</v>
      </c>
      <c r="AW81" s="15">
        <v>-9.0417776857222021E-3</v>
      </c>
      <c r="AX81" s="15">
        <v>-2.7789815331559525E-2</v>
      </c>
      <c r="AZ81" s="7" t="s">
        <v>11</v>
      </c>
      <c r="BA81" s="15">
        <v>9.8468271334792121E-2</v>
      </c>
      <c r="BB81" s="15">
        <v>-1.2603728665207883E-2</v>
      </c>
      <c r="BC81" s="15">
        <v>-4.0110011059475363E-2</v>
      </c>
      <c r="BE81" s="7" t="s">
        <v>10</v>
      </c>
      <c r="BF81" s="15">
        <v>0.44649730561970752</v>
      </c>
      <c r="BG81" s="15">
        <v>-2.2078694380292474E-2</v>
      </c>
      <c r="BH81" s="15">
        <v>-4.4243752565592986E-2</v>
      </c>
      <c r="BJ81" s="7" t="s">
        <v>97</v>
      </c>
      <c r="BK81" s="15">
        <v>8.8610240334378268E-2</v>
      </c>
      <c r="BL81" s="15">
        <v>-1.4449759665621731E-2</v>
      </c>
      <c r="BM81" s="15">
        <v>-4.7525069202327713E-2</v>
      </c>
    </row>
    <row r="82" spans="1:65" x14ac:dyDescent="0.2">
      <c r="A82" s="10" t="s">
        <v>78</v>
      </c>
      <c r="B82" s="12">
        <v>0.1579408159691823</v>
      </c>
      <c r="C82" s="12">
        <v>0.1419410004275331</v>
      </c>
      <c r="D82" s="12">
        <v>0.1333333333333333</v>
      </c>
      <c r="E82" s="12">
        <v>8.9108910891089105E-2</v>
      </c>
      <c r="F82" s="12">
        <v>0.31510632421982882</v>
      </c>
      <c r="G82" s="12">
        <v>0.14223194748358861</v>
      </c>
      <c r="H82" s="12">
        <v>0.15627405696689761</v>
      </c>
      <c r="I82" s="12">
        <v>4.5559038662486943E-2</v>
      </c>
      <c r="J82" s="13">
        <v>0.155391</v>
      </c>
      <c r="L82" s="7" t="s">
        <v>78</v>
      </c>
      <c r="M82" s="11">
        <f t="shared" si="9"/>
        <v>2.5498159691823008E-3</v>
      </c>
      <c r="N82" s="11">
        <f t="shared" si="10"/>
        <v>-1.3449999572466897E-2</v>
      </c>
      <c r="O82" s="11">
        <f t="shared" si="11"/>
        <v>-2.2057666666666698E-2</v>
      </c>
      <c r="P82" s="11">
        <f t="shared" si="12"/>
        <v>-6.6282089108910897E-2</v>
      </c>
      <c r="Q82" s="11">
        <f t="shared" si="13"/>
        <v>0.15971532421982881</v>
      </c>
      <c r="R82" s="11">
        <f t="shared" si="14"/>
        <v>-1.315905251641139E-2</v>
      </c>
      <c r="S82" s="11">
        <f t="shared" si="15"/>
        <v>8.8305696689761071E-4</v>
      </c>
      <c r="T82" s="11">
        <f t="shared" si="16"/>
        <v>-0.10983196133751305</v>
      </c>
      <c r="V82" s="3">
        <v>79</v>
      </c>
      <c r="W82" s="4" t="s">
        <v>78</v>
      </c>
      <c r="X82" s="5">
        <v>0.155391</v>
      </c>
      <c r="Y82" s="5">
        <v>0.362286</v>
      </c>
      <c r="AA82" s="7" t="s">
        <v>99</v>
      </c>
      <c r="AB82" s="15">
        <v>0.4405533181579408</v>
      </c>
      <c r="AC82" s="15">
        <v>-1.9509681842059201E-2</v>
      </c>
      <c r="AD82" s="15">
        <v>-3.914344841559584E-2</v>
      </c>
      <c r="AF82" s="7" t="s">
        <v>78</v>
      </c>
      <c r="AG82" s="15">
        <v>0.1419410004275331</v>
      </c>
      <c r="AH82" s="15">
        <v>-1.3449999572466897E-2</v>
      </c>
      <c r="AI82" s="15">
        <v>-3.7125363862989182E-2</v>
      </c>
      <c r="AK82" s="7" t="s">
        <v>78</v>
      </c>
      <c r="AL82" s="15">
        <v>0.1333333333333333</v>
      </c>
      <c r="AM82" s="15">
        <v>-2.2057666666666698E-2</v>
      </c>
      <c r="AN82" s="15">
        <v>-6.0884678587267232E-2</v>
      </c>
      <c r="AP82" s="7" t="s">
        <v>17</v>
      </c>
      <c r="AQ82" s="15">
        <v>7.9207920792079209E-2</v>
      </c>
      <c r="AR82" s="15">
        <v>-3.6822079207920785E-2</v>
      </c>
      <c r="AS82" s="15">
        <v>-0.11497234889396346</v>
      </c>
      <c r="AU82" s="7" t="s">
        <v>34</v>
      </c>
      <c r="AV82" s="15">
        <v>0.10908588787627729</v>
      </c>
      <c r="AW82" s="15">
        <v>-9.5481121237227101E-3</v>
      </c>
      <c r="AX82" s="15">
        <v>-2.9527351827571661E-2</v>
      </c>
      <c r="AZ82" s="7" t="s">
        <v>65</v>
      </c>
      <c r="BA82" s="15">
        <v>9.6827133479212249E-2</v>
      </c>
      <c r="BB82" s="15">
        <v>-1.2792866520787746E-2</v>
      </c>
      <c r="BC82" s="15">
        <v>-4.0947262271944597E-2</v>
      </c>
      <c r="BE82" s="7" t="s">
        <v>101</v>
      </c>
      <c r="BF82" s="15">
        <v>3.0792917628945341E-3</v>
      </c>
      <c r="BG82" s="15">
        <v>-3.7817082371054658E-3</v>
      </c>
      <c r="BH82" s="15">
        <v>-4.5813343312885738E-2</v>
      </c>
      <c r="BJ82" s="7" t="s">
        <v>86</v>
      </c>
      <c r="BK82" s="15">
        <v>9.7178683385579931E-2</v>
      </c>
      <c r="BL82" s="15">
        <v>-1.6447316614420074E-2</v>
      </c>
      <c r="BM82" s="15">
        <v>-5.182460767387731E-2</v>
      </c>
    </row>
    <row r="83" spans="1:65" x14ac:dyDescent="0.2">
      <c r="A83" s="10" t="s">
        <v>79</v>
      </c>
      <c r="B83" s="12">
        <v>1.400805463141306E-2</v>
      </c>
      <c r="C83" s="12">
        <v>2.3086789226165031E-2</v>
      </c>
      <c r="D83" s="12">
        <v>1.4035087719298249E-2</v>
      </c>
      <c r="E83" s="12">
        <v>4.9504950495049507E-2</v>
      </c>
      <c r="F83" s="12">
        <v>6.3518365092515884E-3</v>
      </c>
      <c r="G83" s="12">
        <v>1.4223194748358861E-2</v>
      </c>
      <c r="H83" s="12">
        <v>1.38568129330254E-2</v>
      </c>
      <c r="I83" s="12">
        <v>2.0689655172413789E-2</v>
      </c>
      <c r="J83" s="13">
        <v>1.5474E-2</v>
      </c>
      <c r="L83" s="7" t="s">
        <v>79</v>
      </c>
      <c r="M83" s="11">
        <f t="shared" si="9"/>
        <v>-1.4659453685869402E-3</v>
      </c>
      <c r="N83" s="11">
        <f t="shared" si="10"/>
        <v>7.6127892261650312E-3</v>
      </c>
      <c r="O83" s="11">
        <f t="shared" si="11"/>
        <v>-1.4389122807017506E-3</v>
      </c>
      <c r="P83" s="11">
        <f t="shared" si="12"/>
        <v>3.4030950495049506E-2</v>
      </c>
      <c r="Q83" s="11">
        <f t="shared" si="13"/>
        <v>-9.1221634907484115E-3</v>
      </c>
      <c r="R83" s="11">
        <f t="shared" si="14"/>
        <v>-1.2508052516411391E-3</v>
      </c>
      <c r="S83" s="11">
        <f t="shared" si="15"/>
        <v>-1.6171870669746003E-3</v>
      </c>
      <c r="T83" s="11">
        <f t="shared" si="16"/>
        <v>5.2156551724137894E-3</v>
      </c>
      <c r="V83" s="3">
        <v>80</v>
      </c>
      <c r="W83" s="4" t="s">
        <v>79</v>
      </c>
      <c r="X83" s="5">
        <v>1.5474E-2</v>
      </c>
      <c r="Y83" s="5">
        <v>0.123431</v>
      </c>
      <c r="AA83" s="7" t="s">
        <v>27</v>
      </c>
      <c r="AB83" s="15">
        <v>7.8445105935913154E-2</v>
      </c>
      <c r="AC83" s="15">
        <v>-1.1443894064086843E-2</v>
      </c>
      <c r="AD83" s="15">
        <v>-4.0009418816511703E-2</v>
      </c>
      <c r="AF83" s="7" t="s">
        <v>15</v>
      </c>
      <c r="AG83" s="15">
        <v>0.36639589568191527</v>
      </c>
      <c r="AH83" s="15">
        <v>-1.8250104318084714E-2</v>
      </c>
      <c r="AI83" s="15">
        <v>-3.7511210789364376E-2</v>
      </c>
      <c r="AK83" s="7" t="s">
        <v>73</v>
      </c>
      <c r="AL83" s="15">
        <v>0.17192982456140349</v>
      </c>
      <c r="AM83" s="15">
        <v>-2.4525175438596503E-2</v>
      </c>
      <c r="AN83" s="15">
        <v>-6.172557405907618E-2</v>
      </c>
      <c r="AP83" s="7" t="s">
        <v>77</v>
      </c>
      <c r="AQ83" s="15">
        <v>6.9306930693069313E-2</v>
      </c>
      <c r="AR83" s="15">
        <v>-3.6507069306930692E-2</v>
      </c>
      <c r="AS83" s="15">
        <v>-0.11868087952137205</v>
      </c>
      <c r="AU83" s="7" t="s">
        <v>66</v>
      </c>
      <c r="AV83" s="15">
        <v>0.10521955260977631</v>
      </c>
      <c r="AW83" s="15">
        <v>-9.9084473902236875E-3</v>
      </c>
      <c r="AX83" s="15">
        <v>-3.1042960634815819E-2</v>
      </c>
      <c r="AZ83" s="7" t="s">
        <v>2</v>
      </c>
      <c r="BA83" s="15">
        <v>0.15317286652078771</v>
      </c>
      <c r="BB83" s="15">
        <v>-1.563913347921228E-2</v>
      </c>
      <c r="BC83" s="15">
        <v>-4.174944534553926E-2</v>
      </c>
      <c r="BE83" s="7" t="s">
        <v>64</v>
      </c>
      <c r="BF83" s="15">
        <v>9.3148575827559657E-2</v>
      </c>
      <c r="BG83" s="15">
        <v>-1.4267424172440341E-2</v>
      </c>
      <c r="BH83" s="15">
        <v>-4.60759702000334E-2</v>
      </c>
      <c r="BJ83" s="7" t="s">
        <v>24</v>
      </c>
      <c r="BK83" s="15">
        <v>2.3406478578892369E-2</v>
      </c>
      <c r="BL83" s="15">
        <v>-9.694521421107629E-3</v>
      </c>
      <c r="BM83" s="15">
        <v>-5.4187793707911575E-2</v>
      </c>
    </row>
    <row r="84" spans="1:65" x14ac:dyDescent="0.2">
      <c r="A84" s="10" t="s">
        <v>80</v>
      </c>
      <c r="B84" s="12">
        <v>3.0292418140430748E-2</v>
      </c>
      <c r="C84" s="12">
        <v>4.3180846515604963E-2</v>
      </c>
      <c r="D84" s="12">
        <v>5.9649122807017542E-2</v>
      </c>
      <c r="E84" s="12">
        <v>9.9009900990099011E-3</v>
      </c>
      <c r="F84" s="12">
        <v>5.8271195802264572E-2</v>
      </c>
      <c r="G84" s="12">
        <v>5.0328227571115977E-2</v>
      </c>
      <c r="H84" s="12">
        <v>2.4634334103156269E-2</v>
      </c>
      <c r="I84" s="12">
        <v>1.671891327063741E-2</v>
      </c>
      <c r="J84" s="13">
        <v>3.5404999999999999E-2</v>
      </c>
      <c r="L84" s="7" t="s">
        <v>80</v>
      </c>
      <c r="M84" s="11">
        <f t="shared" si="9"/>
        <v>-5.1125818595692506E-3</v>
      </c>
      <c r="N84" s="11">
        <f t="shared" si="10"/>
        <v>7.7758465156049644E-3</v>
      </c>
      <c r="O84" s="11">
        <f t="shared" si="11"/>
        <v>2.4244122807017543E-2</v>
      </c>
      <c r="P84" s="11">
        <f t="shared" si="12"/>
        <v>-2.5504009900990096E-2</v>
      </c>
      <c r="Q84" s="11">
        <f t="shared" si="13"/>
        <v>2.2866195802264573E-2</v>
      </c>
      <c r="R84" s="11">
        <f t="shared" si="14"/>
        <v>1.4923227571115978E-2</v>
      </c>
      <c r="S84" s="11">
        <f t="shared" si="15"/>
        <v>-1.077066589684373E-2</v>
      </c>
      <c r="T84" s="11">
        <f t="shared" si="16"/>
        <v>-1.8686086729362589E-2</v>
      </c>
      <c r="V84" s="3">
        <v>81</v>
      </c>
      <c r="W84" s="4" t="s">
        <v>80</v>
      </c>
      <c r="X84" s="5">
        <v>3.5404999999999999E-2</v>
      </c>
      <c r="Y84" s="5">
        <v>0.184806</v>
      </c>
      <c r="AA84" s="7" t="s">
        <v>11</v>
      </c>
      <c r="AB84" s="15">
        <v>9.8056382419891439E-2</v>
      </c>
      <c r="AC84" s="15">
        <v>-1.3015617580108566E-2</v>
      </c>
      <c r="AD84" s="15">
        <v>-4.1420803236202154E-2</v>
      </c>
      <c r="AF84" s="7" t="s">
        <v>99</v>
      </c>
      <c r="AG84" s="15">
        <v>0.44121419410004281</v>
      </c>
      <c r="AH84" s="15">
        <v>-1.8848805899957188E-2</v>
      </c>
      <c r="AI84" s="15">
        <v>-3.781749325352806E-2</v>
      </c>
      <c r="AK84" s="7" t="s">
        <v>47</v>
      </c>
      <c r="AL84" s="15">
        <v>5.6140350877192977E-2</v>
      </c>
      <c r="AM84" s="15">
        <v>-1.6171649122807025E-2</v>
      </c>
      <c r="AN84" s="15">
        <v>-6.2436389030566482E-2</v>
      </c>
      <c r="AP84" s="7" t="s">
        <v>15</v>
      </c>
      <c r="AQ84" s="15">
        <v>0.32673267326732669</v>
      </c>
      <c r="AR84" s="15">
        <v>-5.7913326732673298E-2</v>
      </c>
      <c r="AS84" s="15">
        <v>-0.11903488159406997</v>
      </c>
      <c r="AU84" s="7" t="s">
        <v>108</v>
      </c>
      <c r="AV84" s="15">
        <v>5.7442695388014359E-2</v>
      </c>
      <c r="AW84" s="15">
        <v>-8.8603046119856421E-3</v>
      </c>
      <c r="AX84" s="15">
        <v>-3.5609723660303121E-2</v>
      </c>
      <c r="AZ84" s="7" t="s">
        <v>25</v>
      </c>
      <c r="BA84" s="15">
        <v>9.6280087527352301E-2</v>
      </c>
      <c r="BB84" s="15">
        <v>-1.7195912472647693E-2</v>
      </c>
      <c r="BC84" s="15">
        <v>-5.4214654276244209E-2</v>
      </c>
      <c r="BE84" s="7" t="s">
        <v>35</v>
      </c>
      <c r="BF84" s="15">
        <v>9.9307159353348731E-2</v>
      </c>
      <c r="BG84" s="15">
        <v>-1.5620840646651271E-2</v>
      </c>
      <c r="BH84" s="15">
        <v>-4.8976903856335685E-2</v>
      </c>
      <c r="BJ84" s="7" t="s">
        <v>110</v>
      </c>
      <c r="BK84" s="15">
        <v>0</v>
      </c>
      <c r="BL84" s="15">
        <v>-3.2049999999999999E-3</v>
      </c>
      <c r="BM84" s="15">
        <v>-5.670258125011058E-2</v>
      </c>
    </row>
    <row r="85" spans="1:65" x14ac:dyDescent="0.2">
      <c r="A85" s="10" t="s">
        <v>81</v>
      </c>
      <c r="B85" s="12">
        <v>9.227805988443355E-2</v>
      </c>
      <c r="C85" s="12">
        <v>8.5079093629756311E-2</v>
      </c>
      <c r="D85" s="12">
        <v>0.10877192982456139</v>
      </c>
      <c r="E85" s="12">
        <v>6.9306930693069313E-2</v>
      </c>
      <c r="F85" s="12">
        <v>0.31510632421982882</v>
      </c>
      <c r="G85" s="12">
        <v>8.9715536105032828E-2</v>
      </c>
      <c r="H85" s="12">
        <v>0.1208622016936105</v>
      </c>
      <c r="I85" s="12">
        <v>3.3437826541274818E-3</v>
      </c>
      <c r="J85" s="13">
        <v>0.112274</v>
      </c>
      <c r="L85" s="7" t="s">
        <v>81</v>
      </c>
      <c r="M85" s="11">
        <f t="shared" si="9"/>
        <v>-1.9995940115566449E-2</v>
      </c>
      <c r="N85" s="11">
        <f t="shared" si="10"/>
        <v>-2.7194906370243688E-2</v>
      </c>
      <c r="O85" s="11">
        <f t="shared" si="11"/>
        <v>-3.5020701754386041E-3</v>
      </c>
      <c r="P85" s="11">
        <f t="shared" si="12"/>
        <v>-4.2967069306930686E-2</v>
      </c>
      <c r="Q85" s="11">
        <f t="shared" si="13"/>
        <v>0.20283232421982883</v>
      </c>
      <c r="R85" s="11">
        <f t="shared" si="14"/>
        <v>-2.2558463894967171E-2</v>
      </c>
      <c r="S85" s="11">
        <f t="shared" si="15"/>
        <v>8.588201693610506E-3</v>
      </c>
      <c r="T85" s="11">
        <f t="shared" si="16"/>
        <v>-0.10893021734587252</v>
      </c>
      <c r="V85" s="3">
        <v>82</v>
      </c>
      <c r="W85" s="4" t="s">
        <v>81</v>
      </c>
      <c r="X85" s="5">
        <v>0.112274</v>
      </c>
      <c r="Y85" s="5">
        <v>0.31571100000000002</v>
      </c>
      <c r="AA85" s="7" t="s">
        <v>41</v>
      </c>
      <c r="AB85" s="15">
        <v>0.13097531080371211</v>
      </c>
      <c r="AC85" s="15">
        <v>-1.5401689196287899E-2</v>
      </c>
      <c r="AD85" s="15">
        <v>-4.3569997698081432E-2</v>
      </c>
      <c r="AF85" s="7" t="s">
        <v>1</v>
      </c>
      <c r="AG85" s="15">
        <v>0.1351004702864472</v>
      </c>
      <c r="AH85" s="15">
        <v>-1.5132529713552806E-2</v>
      </c>
      <c r="AI85" s="15">
        <v>-4.2351499864410551E-2</v>
      </c>
      <c r="AK85" s="7" t="s">
        <v>36</v>
      </c>
      <c r="AL85" s="15">
        <v>9.1228070175438603E-2</v>
      </c>
      <c r="AM85" s="15">
        <v>-2.0594929824561403E-2</v>
      </c>
      <c r="AN85" s="15">
        <v>-6.5348159249394439E-2</v>
      </c>
      <c r="AP85" s="7" t="s">
        <v>46</v>
      </c>
      <c r="AQ85" s="15">
        <v>8.9108910891089105E-2</v>
      </c>
      <c r="AR85" s="15">
        <v>-4.4698089108910904E-2</v>
      </c>
      <c r="AS85" s="15">
        <v>-0.13128965765980399</v>
      </c>
      <c r="AU85" s="7" t="s">
        <v>67</v>
      </c>
      <c r="AV85" s="15">
        <v>0.10742888704777689</v>
      </c>
      <c r="AW85" s="15">
        <v>-1.2357112952223109E-2</v>
      </c>
      <c r="AX85" s="15">
        <v>-3.8054788762662828E-2</v>
      </c>
      <c r="AZ85" s="7" t="s">
        <v>101</v>
      </c>
      <c r="BA85" s="15">
        <v>2.1881838074398249E-3</v>
      </c>
      <c r="BB85" s="15">
        <v>-4.672816192560175E-3</v>
      </c>
      <c r="BC85" s="15">
        <v>-5.6608632672209135E-2</v>
      </c>
      <c r="BE85" s="7" t="s">
        <v>22</v>
      </c>
      <c r="BF85" s="15">
        <v>0.1000769822940724</v>
      </c>
      <c r="BG85" s="15">
        <v>-1.7004017705927604E-2</v>
      </c>
      <c r="BH85" s="15">
        <v>-5.2885522761612951E-2</v>
      </c>
      <c r="BJ85" s="7" t="s">
        <v>108</v>
      </c>
      <c r="BK85" s="15">
        <v>5.2037617554858931E-2</v>
      </c>
      <c r="BL85" s="15">
        <v>-1.426538244514107E-2</v>
      </c>
      <c r="BM85" s="15">
        <v>-5.7332828726096165E-2</v>
      </c>
    </row>
    <row r="86" spans="1:65" x14ac:dyDescent="0.2">
      <c r="A86" s="10" t="s">
        <v>82</v>
      </c>
      <c r="B86" s="12">
        <v>1.4008054631413061E-3</v>
      </c>
      <c r="C86" s="12">
        <v>4.70286447199658E-3</v>
      </c>
      <c r="D86" s="12">
        <v>7.0175438596491229E-3</v>
      </c>
      <c r="E86" s="12">
        <v>3.9603960396039598E-2</v>
      </c>
      <c r="F86" s="12">
        <v>5.5233360950013811E-3</v>
      </c>
      <c r="G86" s="12">
        <v>1.6411378555798691E-3</v>
      </c>
      <c r="H86" s="12">
        <v>3.0792917628945341E-3</v>
      </c>
      <c r="I86" s="12">
        <v>2.507836990595611E-3</v>
      </c>
      <c r="J86" s="13">
        <v>3.2049999999999999E-3</v>
      </c>
      <c r="L86" s="7" t="s">
        <v>82</v>
      </c>
      <c r="M86" s="11">
        <f t="shared" si="9"/>
        <v>-1.8041945368586939E-3</v>
      </c>
      <c r="N86" s="11">
        <f t="shared" si="10"/>
        <v>1.4978644719965801E-3</v>
      </c>
      <c r="O86" s="11">
        <f t="shared" si="11"/>
        <v>3.812543859649123E-3</v>
      </c>
      <c r="P86" s="11">
        <f t="shared" si="12"/>
        <v>3.6398960396039598E-2</v>
      </c>
      <c r="Q86" s="11">
        <f t="shared" si="13"/>
        <v>2.3183360950013812E-3</v>
      </c>
      <c r="R86" s="11">
        <f t="shared" si="14"/>
        <v>-1.5638621444201309E-3</v>
      </c>
      <c r="S86" s="11">
        <f t="shared" si="15"/>
        <v>-1.2570823710546589E-4</v>
      </c>
      <c r="T86" s="11">
        <f t="shared" si="16"/>
        <v>-6.9716300940438894E-4</v>
      </c>
      <c r="V86" s="3">
        <v>83</v>
      </c>
      <c r="W86" s="4" t="s">
        <v>82</v>
      </c>
      <c r="X86" s="5">
        <v>3.2049999999999999E-3</v>
      </c>
      <c r="Y86" s="5">
        <v>5.6522999999999997E-2</v>
      </c>
      <c r="AA86" s="7" t="s">
        <v>48</v>
      </c>
      <c r="AB86" s="15">
        <v>1.768516897215899E-2</v>
      </c>
      <c r="AC86" s="15">
        <v>-7.0028310278410118E-3</v>
      </c>
      <c r="AD86" s="15">
        <v>-4.5128021728999858E-2</v>
      </c>
      <c r="AF86" s="7" t="s">
        <v>56</v>
      </c>
      <c r="AG86" s="15">
        <v>2.9072253099615222E-2</v>
      </c>
      <c r="AH86" s="15">
        <v>-8.3857469003847766E-3</v>
      </c>
      <c r="AI86" s="15">
        <v>-4.4162007206348948E-2</v>
      </c>
      <c r="AK86" s="7" t="s">
        <v>108</v>
      </c>
      <c r="AL86" s="15">
        <v>4.912280701754386E-2</v>
      </c>
      <c r="AM86" s="15">
        <v>-1.7180192982456141E-2</v>
      </c>
      <c r="AN86" s="15">
        <v>-6.9047504722169875E-2</v>
      </c>
      <c r="AP86" s="7" t="s">
        <v>11</v>
      </c>
      <c r="AQ86" s="15">
        <v>6.9306930693069313E-2</v>
      </c>
      <c r="AR86" s="15">
        <v>-4.1765069306930691E-2</v>
      </c>
      <c r="AS86" s="15">
        <v>-0.13291284161210676</v>
      </c>
      <c r="AU86" s="7" t="s">
        <v>69</v>
      </c>
      <c r="AV86" s="15">
        <v>7.3460370063518368E-2</v>
      </c>
      <c r="AW86" s="15">
        <v>-1.0619629936481634E-2</v>
      </c>
      <c r="AX86" s="15">
        <v>-3.8266868228678211E-2</v>
      </c>
      <c r="AZ86" s="7" t="s">
        <v>110</v>
      </c>
      <c r="BA86" s="15">
        <v>0</v>
      </c>
      <c r="BB86" s="15">
        <v>-3.2049999999999999E-3</v>
      </c>
      <c r="BC86" s="15">
        <v>-5.670258125011058E-2</v>
      </c>
      <c r="BE86" s="7" t="s">
        <v>15</v>
      </c>
      <c r="BF86" s="15">
        <v>0.35719784449576603</v>
      </c>
      <c r="BG86" s="15">
        <v>-2.7448155504233962E-2</v>
      </c>
      <c r="BH86" s="15">
        <v>-5.6416858169862041E-2</v>
      </c>
      <c r="BJ86" s="7" t="s">
        <v>44</v>
      </c>
      <c r="BK86" s="15">
        <v>0.22925809822361551</v>
      </c>
      <c r="BL86" s="15">
        <v>-2.6387901776384476E-2</v>
      </c>
      <c r="BM86" s="15">
        <v>-6.0490106883639497E-2</v>
      </c>
    </row>
    <row r="87" spans="1:65" x14ac:dyDescent="0.2">
      <c r="A87" s="10" t="s">
        <v>83</v>
      </c>
      <c r="B87" s="12">
        <v>7.0040273157065316E-3</v>
      </c>
      <c r="C87" s="12">
        <v>1.3681060282171869E-2</v>
      </c>
      <c r="D87" s="12">
        <v>2.1052631578947371E-2</v>
      </c>
      <c r="E87" s="12">
        <v>0</v>
      </c>
      <c r="F87" s="12">
        <v>2.485501242750621E-2</v>
      </c>
      <c r="G87" s="12">
        <v>1.2582056892778991E-2</v>
      </c>
      <c r="H87" s="12">
        <v>6.1585835257890681E-3</v>
      </c>
      <c r="I87" s="12">
        <v>4.1797283176593522E-4</v>
      </c>
      <c r="J87" s="13">
        <v>1.0066E-2</v>
      </c>
      <c r="L87" s="7" t="s">
        <v>83</v>
      </c>
      <c r="M87" s="11">
        <f t="shared" si="9"/>
        <v>-3.0619726842934687E-3</v>
      </c>
      <c r="N87" s="11">
        <f t="shared" si="10"/>
        <v>3.615060282171869E-3</v>
      </c>
      <c r="O87" s="11">
        <f t="shared" si="11"/>
        <v>1.0986631578947371E-2</v>
      </c>
      <c r="P87" s="11">
        <f t="shared" si="12"/>
        <v>-1.0066E-2</v>
      </c>
      <c r="Q87" s="11">
        <f t="shared" si="13"/>
        <v>1.478901242750621E-2</v>
      </c>
      <c r="R87" s="11">
        <f t="shared" si="14"/>
        <v>2.5160568927789905E-3</v>
      </c>
      <c r="S87" s="11">
        <f t="shared" si="15"/>
        <v>-3.9074164742109322E-3</v>
      </c>
      <c r="T87" s="11">
        <f t="shared" si="16"/>
        <v>-9.6480271682340656E-3</v>
      </c>
      <c r="V87" s="3">
        <v>84</v>
      </c>
      <c r="W87" s="4" t="s">
        <v>83</v>
      </c>
      <c r="X87" s="5">
        <v>1.0066E-2</v>
      </c>
      <c r="Y87" s="5">
        <v>9.9823999999999996E-2</v>
      </c>
      <c r="AA87" s="7" t="s">
        <v>24</v>
      </c>
      <c r="AB87" s="15">
        <v>2.468919628786552E-2</v>
      </c>
      <c r="AC87" s="15">
        <v>-8.4118037121344788E-3</v>
      </c>
      <c r="AD87" s="15">
        <v>-4.7018007848448229E-2</v>
      </c>
      <c r="AF87" s="7" t="s">
        <v>32</v>
      </c>
      <c r="AG87" s="15">
        <v>0.10260795211628899</v>
      </c>
      <c r="AH87" s="15">
        <v>-1.5926047883711006E-2</v>
      </c>
      <c r="AI87" s="15">
        <v>-4.9268973520901989E-2</v>
      </c>
      <c r="AK87" s="7" t="s">
        <v>43</v>
      </c>
      <c r="AL87" s="15">
        <v>1.754385964912281E-2</v>
      </c>
      <c r="AM87" s="15">
        <v>-1.2603140350877191E-2</v>
      </c>
      <c r="AN87" s="15">
        <v>-7.3704730260400544E-2</v>
      </c>
      <c r="AP87" s="7" t="s">
        <v>81</v>
      </c>
      <c r="AQ87" s="15">
        <v>6.9306930693069313E-2</v>
      </c>
      <c r="AR87" s="15">
        <v>-4.2967069306930686E-2</v>
      </c>
      <c r="AS87" s="15">
        <v>-0.13609620604581621</v>
      </c>
      <c r="AU87" s="7" t="s">
        <v>24</v>
      </c>
      <c r="AV87" s="15">
        <v>2.595967964650649E-2</v>
      </c>
      <c r="AW87" s="15">
        <v>-7.1413203534935084E-3</v>
      </c>
      <c r="AX87" s="15">
        <v>-3.9916606226138351E-2</v>
      </c>
      <c r="AZ87" s="7" t="s">
        <v>113</v>
      </c>
      <c r="BA87" s="15">
        <v>0</v>
      </c>
      <c r="BB87" s="15">
        <v>-7.7120000000000001E-3</v>
      </c>
      <c r="BC87" s="15">
        <v>-6.2833026446577261E-2</v>
      </c>
      <c r="BE87" s="7" t="s">
        <v>110</v>
      </c>
      <c r="BF87" s="15">
        <v>0</v>
      </c>
      <c r="BG87" s="15">
        <v>-3.2049999999999999E-3</v>
      </c>
      <c r="BH87" s="15">
        <v>-5.670258125011058E-2</v>
      </c>
      <c r="BJ87" s="7" t="s">
        <v>113</v>
      </c>
      <c r="BK87" s="15">
        <v>0</v>
      </c>
      <c r="BL87" s="15">
        <v>-7.7120000000000001E-3</v>
      </c>
      <c r="BM87" s="15">
        <v>-6.2833026446577261E-2</v>
      </c>
    </row>
    <row r="88" spans="1:65" x14ac:dyDescent="0.2">
      <c r="A88" s="10" t="s">
        <v>84</v>
      </c>
      <c r="B88" s="12">
        <v>2.2412887410260901E-2</v>
      </c>
      <c r="C88" s="12">
        <v>2.3086789226165031E-2</v>
      </c>
      <c r="D88" s="12">
        <v>4.5614035087719301E-2</v>
      </c>
      <c r="E88" s="12">
        <v>9.9009900990099011E-3</v>
      </c>
      <c r="F88" s="12">
        <v>0.14194973764153551</v>
      </c>
      <c r="G88" s="12">
        <v>1.8052516411378561E-2</v>
      </c>
      <c r="H88" s="12">
        <v>3.3872209391839873E-2</v>
      </c>
      <c r="I88" s="12">
        <v>0</v>
      </c>
      <c r="J88" s="13">
        <v>3.9411000000000002E-2</v>
      </c>
      <c r="L88" s="7" t="s">
        <v>84</v>
      </c>
      <c r="M88" s="11">
        <f t="shared" si="9"/>
        <v>-1.6998112589739101E-2</v>
      </c>
      <c r="N88" s="11">
        <f t="shared" si="10"/>
        <v>-1.6324210773834971E-2</v>
      </c>
      <c r="O88" s="11">
        <f t="shared" si="11"/>
        <v>6.2030350877192997E-3</v>
      </c>
      <c r="P88" s="11">
        <f t="shared" si="12"/>
        <v>-2.9510009900990099E-2</v>
      </c>
      <c r="Q88" s="11">
        <f t="shared" si="13"/>
        <v>0.10253873764153551</v>
      </c>
      <c r="R88" s="11">
        <f t="shared" si="14"/>
        <v>-2.1358483588621441E-2</v>
      </c>
      <c r="S88" s="11">
        <f t="shared" si="15"/>
        <v>-5.5387906081601282E-3</v>
      </c>
      <c r="T88" s="11">
        <f t="shared" si="16"/>
        <v>-3.9411000000000002E-2</v>
      </c>
      <c r="V88" s="3">
        <v>85</v>
      </c>
      <c r="W88" s="4" t="s">
        <v>84</v>
      </c>
      <c r="X88" s="5">
        <v>3.9411000000000002E-2</v>
      </c>
      <c r="Y88" s="5">
        <v>0.194576</v>
      </c>
      <c r="AA88" s="7" t="s">
        <v>70</v>
      </c>
      <c r="AB88" s="15">
        <v>1.4883558045876381E-2</v>
      </c>
      <c r="AC88" s="15">
        <v>-7.050441954123618E-3</v>
      </c>
      <c r="AD88" s="15">
        <v>-4.8135083525340121E-2</v>
      </c>
      <c r="AF88" s="7" t="s">
        <v>29</v>
      </c>
      <c r="AG88" s="15">
        <v>0.32321504916631039</v>
      </c>
      <c r="AH88" s="15">
        <v>-2.5074950833689602E-2</v>
      </c>
      <c r="AI88" s="15">
        <v>-5.2629818725735883E-2</v>
      </c>
      <c r="AK88" s="7" t="s">
        <v>35</v>
      </c>
      <c r="AL88" s="15">
        <v>9.1228070175438603E-2</v>
      </c>
      <c r="AM88" s="15">
        <v>-2.36999298245614E-2</v>
      </c>
      <c r="AN88" s="15">
        <v>-7.4307728417182389E-2</v>
      </c>
      <c r="AP88" s="7" t="s">
        <v>80</v>
      </c>
      <c r="AQ88" s="15">
        <v>9.9009900990099011E-3</v>
      </c>
      <c r="AR88" s="15">
        <v>-2.5504009900990096E-2</v>
      </c>
      <c r="AS88" s="15">
        <v>-0.1380042309285959</v>
      </c>
      <c r="AU88" s="7" t="s">
        <v>6</v>
      </c>
      <c r="AV88" s="15">
        <v>0.1513394090030378</v>
      </c>
      <c r="AW88" s="15">
        <v>-1.5569590996962202E-2</v>
      </c>
      <c r="AX88" s="15">
        <v>-4.175227671723071E-2</v>
      </c>
      <c r="AZ88" s="7" t="s">
        <v>22</v>
      </c>
      <c r="BA88" s="15">
        <v>9.6827133479212249E-2</v>
      </c>
      <c r="BB88" s="15">
        <v>-2.0253866520787756E-2</v>
      </c>
      <c r="BC88" s="15">
        <v>-6.2993131236413202E-2</v>
      </c>
      <c r="BE88" s="7" t="s">
        <v>80</v>
      </c>
      <c r="BF88" s="15">
        <v>2.4634334103156269E-2</v>
      </c>
      <c r="BG88" s="15">
        <v>-1.077066589684373E-2</v>
      </c>
      <c r="BH88" s="15">
        <v>-5.8280931879071726E-2</v>
      </c>
      <c r="BJ88" s="7" t="s">
        <v>57</v>
      </c>
      <c r="BK88" s="15">
        <v>0.48526645768025078</v>
      </c>
      <c r="BL88" s="15">
        <v>-3.2636542319749218E-2</v>
      </c>
      <c r="BM88" s="15">
        <v>-6.5313317643166627E-2</v>
      </c>
    </row>
    <row r="89" spans="1:65" x14ac:dyDescent="0.2">
      <c r="A89" s="10" t="s">
        <v>85</v>
      </c>
      <c r="B89" s="12">
        <v>4.1673962528453859E-2</v>
      </c>
      <c r="C89" s="12">
        <v>4.5318512184694307E-2</v>
      </c>
      <c r="D89" s="12">
        <v>0</v>
      </c>
      <c r="E89" s="12">
        <v>9.9009900990099011E-3</v>
      </c>
      <c r="F89" s="12">
        <v>6.1585197459265398E-2</v>
      </c>
      <c r="G89" s="12">
        <v>3.7199124726477018E-2</v>
      </c>
      <c r="H89" s="12">
        <v>3.4642032332563508E-2</v>
      </c>
      <c r="I89" s="12">
        <v>2.654127481713689E-2</v>
      </c>
      <c r="J89" s="13">
        <v>4.0462999999999999E-2</v>
      </c>
      <c r="L89" s="7" t="s">
        <v>85</v>
      </c>
      <c r="M89" s="11">
        <f t="shared" si="9"/>
        <v>1.21096252845386E-3</v>
      </c>
      <c r="N89" s="11">
        <f t="shared" si="10"/>
        <v>4.8555121846943078E-3</v>
      </c>
      <c r="O89" s="11">
        <f t="shared" si="11"/>
        <v>-4.0462999999999999E-2</v>
      </c>
      <c r="P89" s="11">
        <f t="shared" si="12"/>
        <v>-3.0562009900990096E-2</v>
      </c>
      <c r="Q89" s="11">
        <f t="shared" si="13"/>
        <v>2.1122197459265399E-2</v>
      </c>
      <c r="R89" s="11">
        <f t="shared" si="14"/>
        <v>-3.2638752735229815E-3</v>
      </c>
      <c r="S89" s="11">
        <f t="shared" si="15"/>
        <v>-5.8209676674364913E-3</v>
      </c>
      <c r="T89" s="11">
        <f t="shared" si="16"/>
        <v>-1.3921725182863109E-2</v>
      </c>
      <c r="V89" s="3">
        <v>86</v>
      </c>
      <c r="W89" s="4" t="s">
        <v>85</v>
      </c>
      <c r="X89" s="5">
        <v>4.0462999999999999E-2</v>
      </c>
      <c r="Y89" s="5">
        <v>0.197047</v>
      </c>
      <c r="AA89" s="7" t="s">
        <v>43</v>
      </c>
      <c r="AB89" s="15">
        <v>2.1887585361582911E-2</v>
      </c>
      <c r="AC89" s="15">
        <v>-8.2594146384170897E-3</v>
      </c>
      <c r="AD89" s="15">
        <v>-4.8302082741700572E-2</v>
      </c>
      <c r="AF89" s="7" t="s">
        <v>22</v>
      </c>
      <c r="AG89" s="15">
        <v>9.961522017956391E-2</v>
      </c>
      <c r="AH89" s="15">
        <v>-1.7465779820436095E-2</v>
      </c>
      <c r="AI89" s="15">
        <v>-5.4321685158031555E-2</v>
      </c>
      <c r="AK89" s="7" t="s">
        <v>11</v>
      </c>
      <c r="AL89" s="15">
        <v>8.771929824561403E-2</v>
      </c>
      <c r="AM89" s="15">
        <v>-2.3352701754385974E-2</v>
      </c>
      <c r="AN89" s="15">
        <v>-7.431746196050007E-2</v>
      </c>
      <c r="AP89" s="7" t="s">
        <v>66</v>
      </c>
      <c r="AQ89" s="15">
        <v>6.9306930693069313E-2</v>
      </c>
      <c r="AR89" s="15">
        <v>-4.5821069306930681E-2</v>
      </c>
      <c r="AS89" s="15">
        <v>-0.14355646194818267</v>
      </c>
      <c r="AU89" s="7" t="s">
        <v>88</v>
      </c>
      <c r="AV89" s="15">
        <v>0.33278099972383318</v>
      </c>
      <c r="AW89" s="15">
        <v>-2.3271000276166798E-2</v>
      </c>
      <c r="AX89" s="15">
        <v>-4.8598392951691466E-2</v>
      </c>
      <c r="AZ89" s="7" t="s">
        <v>81</v>
      </c>
      <c r="BA89" s="15">
        <v>8.9715536105032828E-2</v>
      </c>
      <c r="BB89" s="15">
        <v>-2.2558463894967171E-2</v>
      </c>
      <c r="BC89" s="15">
        <v>-7.1452891710986219E-2</v>
      </c>
      <c r="BE89" s="7" t="s">
        <v>97</v>
      </c>
      <c r="BF89" s="15">
        <v>8.4680523479599687E-2</v>
      </c>
      <c r="BG89" s="15">
        <v>-1.8379476520400312E-2</v>
      </c>
      <c r="BH89" s="15">
        <v>-6.044985617392265E-2</v>
      </c>
      <c r="BJ89" s="7" t="s">
        <v>31</v>
      </c>
      <c r="BK89" s="15">
        <v>9.8223615464994779E-2</v>
      </c>
      <c r="BL89" s="15">
        <v>-2.211338453500522E-2</v>
      </c>
      <c r="BM89" s="15">
        <v>-6.7965271204793481E-2</v>
      </c>
    </row>
    <row r="90" spans="1:65" x14ac:dyDescent="0.2">
      <c r="A90" s="10" t="s">
        <v>86</v>
      </c>
      <c r="B90" s="12">
        <v>0.1096130274908072</v>
      </c>
      <c r="C90" s="12">
        <v>0.12441214194100041</v>
      </c>
      <c r="D90" s="12">
        <v>0</v>
      </c>
      <c r="E90" s="12">
        <v>9.9009900990099011E-3</v>
      </c>
      <c r="F90" s="12">
        <v>0.14443523888428611</v>
      </c>
      <c r="G90" s="12">
        <v>0.12253829321663021</v>
      </c>
      <c r="H90" s="12">
        <v>0.1070053887605851</v>
      </c>
      <c r="I90" s="12">
        <v>9.7178683385579931E-2</v>
      </c>
      <c r="J90" s="13">
        <v>0.113626</v>
      </c>
      <c r="L90" s="7" t="s">
        <v>86</v>
      </c>
      <c r="M90" s="11">
        <f t="shared" si="9"/>
        <v>-4.0129725091928026E-3</v>
      </c>
      <c r="N90" s="11">
        <f t="shared" si="10"/>
        <v>1.0786141941000402E-2</v>
      </c>
      <c r="O90" s="11">
        <f t="shared" si="11"/>
        <v>-0.113626</v>
      </c>
      <c r="P90" s="11">
        <f t="shared" si="12"/>
        <v>-0.10372500990099011</v>
      </c>
      <c r="Q90" s="11">
        <f t="shared" si="13"/>
        <v>3.0809238884286105E-2</v>
      </c>
      <c r="R90" s="11">
        <f t="shared" si="14"/>
        <v>8.9122932166302016E-3</v>
      </c>
      <c r="S90" s="11">
        <f t="shared" si="15"/>
        <v>-6.620611239414903E-3</v>
      </c>
      <c r="T90" s="11">
        <f t="shared" si="16"/>
        <v>-1.6447316614420074E-2</v>
      </c>
      <c r="V90" s="3">
        <v>87</v>
      </c>
      <c r="W90" s="4" t="s">
        <v>86</v>
      </c>
      <c r="X90" s="5">
        <v>0.113626</v>
      </c>
      <c r="Y90" s="5">
        <v>0.31736500000000001</v>
      </c>
      <c r="AA90" s="7" t="s">
        <v>67</v>
      </c>
      <c r="AB90" s="15">
        <v>0.10243389949220801</v>
      </c>
      <c r="AC90" s="15">
        <v>-1.7352100507791998E-2</v>
      </c>
      <c r="AD90" s="15">
        <v>-5.3437281180934895E-2</v>
      </c>
      <c r="AF90" s="7" t="s">
        <v>110</v>
      </c>
      <c r="AG90" s="15">
        <v>0</v>
      </c>
      <c r="AH90" s="15">
        <v>-3.2049999999999999E-3</v>
      </c>
      <c r="AI90" s="15">
        <v>-5.670258125011058E-2</v>
      </c>
      <c r="AK90" s="7" t="s">
        <v>51</v>
      </c>
      <c r="AL90" s="15">
        <v>0.15087719298245611</v>
      </c>
      <c r="AM90" s="15">
        <v>-2.8600807017543889E-2</v>
      </c>
      <c r="AN90" s="15">
        <v>-7.4527459773359242E-2</v>
      </c>
      <c r="AP90" s="7" t="s">
        <v>29</v>
      </c>
      <c r="AQ90" s="15">
        <v>0.27722772277227731</v>
      </c>
      <c r="AR90" s="15">
        <v>-7.1062277227722681E-2</v>
      </c>
      <c r="AS90" s="15">
        <v>-0.14915262620208775</v>
      </c>
      <c r="AU90" s="7" t="s">
        <v>110</v>
      </c>
      <c r="AV90" s="15">
        <v>0</v>
      </c>
      <c r="AW90" s="15">
        <v>-3.2049999999999999E-3</v>
      </c>
      <c r="AX90" s="15">
        <v>-5.670258125011058E-2</v>
      </c>
      <c r="AZ90" s="7" t="s">
        <v>112</v>
      </c>
      <c r="BA90" s="15">
        <v>0</v>
      </c>
      <c r="BB90" s="15">
        <v>-5.1079999999999997E-3</v>
      </c>
      <c r="BC90" s="15">
        <v>-7.1652008023678257E-2</v>
      </c>
      <c r="BE90" s="7" t="s">
        <v>14</v>
      </c>
      <c r="BF90" s="15">
        <v>0.23556581986143191</v>
      </c>
      <c r="BG90" s="15">
        <v>-2.6590180138568092E-2</v>
      </c>
      <c r="BH90" s="15">
        <v>-6.0457234898453664E-2</v>
      </c>
      <c r="BJ90" s="7" t="s">
        <v>85</v>
      </c>
      <c r="BK90" s="15">
        <v>2.654127481713689E-2</v>
      </c>
      <c r="BL90" s="15">
        <v>-1.3921725182863109E-2</v>
      </c>
      <c r="BM90" s="15">
        <v>-7.0651799737438833E-2</v>
      </c>
    </row>
    <row r="91" spans="1:65" x14ac:dyDescent="0.2">
      <c r="A91" s="10" t="s">
        <v>87</v>
      </c>
      <c r="B91" s="12">
        <v>7.5118192960952554E-2</v>
      </c>
      <c r="C91" s="12">
        <v>4.1470713980333473E-2</v>
      </c>
      <c r="D91" s="12">
        <v>0</v>
      </c>
      <c r="E91" s="12">
        <v>1.9801980198019799E-2</v>
      </c>
      <c r="F91" s="12">
        <v>5.8823529411764712E-2</v>
      </c>
      <c r="G91" s="12">
        <v>6.0175054704595193E-2</v>
      </c>
      <c r="H91" s="12">
        <v>5.2347959969207082E-2</v>
      </c>
      <c r="I91" s="12">
        <v>6.2904911180773251E-2</v>
      </c>
      <c r="J91" s="13">
        <v>6.1094999999999997E-2</v>
      </c>
      <c r="L91" s="7" t="s">
        <v>87</v>
      </c>
      <c r="M91" s="11">
        <f t="shared" si="9"/>
        <v>1.4023192960952557E-2</v>
      </c>
      <c r="N91" s="11">
        <f t="shared" si="10"/>
        <v>-1.9624286019666523E-2</v>
      </c>
      <c r="O91" s="11">
        <f t="shared" si="11"/>
        <v>-6.1094999999999997E-2</v>
      </c>
      <c r="P91" s="11">
        <f t="shared" si="12"/>
        <v>-4.1293019801980198E-2</v>
      </c>
      <c r="Q91" s="11">
        <f t="shared" si="13"/>
        <v>-2.2714705882352845E-3</v>
      </c>
      <c r="R91" s="11">
        <f t="shared" si="14"/>
        <v>-9.1994529540480319E-4</v>
      </c>
      <c r="S91" s="11">
        <f t="shared" si="15"/>
        <v>-8.7470400307929144E-3</v>
      </c>
      <c r="T91" s="11">
        <f t="shared" si="16"/>
        <v>1.8099111807732549E-3</v>
      </c>
      <c r="V91" s="3">
        <v>88</v>
      </c>
      <c r="W91" s="4" t="s">
        <v>87</v>
      </c>
      <c r="X91" s="5">
        <v>6.1094999999999997E-2</v>
      </c>
      <c r="Y91" s="5">
        <v>0.23951</v>
      </c>
      <c r="AA91" s="7" t="s">
        <v>110</v>
      </c>
      <c r="AB91" s="15">
        <v>0</v>
      </c>
      <c r="AC91" s="15">
        <v>-3.2049999999999999E-3</v>
      </c>
      <c r="AD91" s="15">
        <v>-5.670258125011058E-2</v>
      </c>
      <c r="AF91" s="7" t="s">
        <v>54</v>
      </c>
      <c r="AG91" s="15">
        <v>7.9521162890123981E-2</v>
      </c>
      <c r="AH91" s="15">
        <v>-1.6777837109876015E-2</v>
      </c>
      <c r="AI91" s="15">
        <v>-5.687228901449113E-2</v>
      </c>
      <c r="AK91" s="7" t="s">
        <v>30</v>
      </c>
      <c r="AL91" s="15">
        <v>0.10526315789473679</v>
      </c>
      <c r="AM91" s="15">
        <v>-2.5589842105263202E-2</v>
      </c>
      <c r="AN91" s="15">
        <v>-7.5878410265630053E-2</v>
      </c>
      <c r="AP91" s="7" t="s">
        <v>20</v>
      </c>
      <c r="AQ91" s="15">
        <v>6.9306930693069313E-2</v>
      </c>
      <c r="AR91" s="15">
        <v>-4.842506930693069E-2</v>
      </c>
      <c r="AS91" s="15">
        <v>-0.15024889716359868</v>
      </c>
      <c r="AU91" s="7" t="s">
        <v>46</v>
      </c>
      <c r="AV91" s="15">
        <v>0.1132283899475283</v>
      </c>
      <c r="AW91" s="15">
        <v>-2.0578610052471705E-2</v>
      </c>
      <c r="AX91" s="15">
        <v>-6.0444612348427997E-2</v>
      </c>
      <c r="AZ91" s="7" t="s">
        <v>31</v>
      </c>
      <c r="BA91" s="15">
        <v>9.5733041575492339E-2</v>
      </c>
      <c r="BB91" s="15">
        <v>-2.460395842450766E-2</v>
      </c>
      <c r="BC91" s="15">
        <v>-7.5620025708232522E-2</v>
      </c>
      <c r="BE91" s="7" t="s">
        <v>62</v>
      </c>
      <c r="BF91" s="15">
        <v>8.4680523479599687E-2</v>
      </c>
      <c r="BG91" s="15">
        <v>-1.8779476520400309E-2</v>
      </c>
      <c r="BH91" s="15">
        <v>-6.1659590567593701E-2</v>
      </c>
      <c r="BJ91" s="7" t="s">
        <v>112</v>
      </c>
      <c r="BK91" s="15">
        <v>0</v>
      </c>
      <c r="BL91" s="15">
        <v>-5.1079999999999997E-3</v>
      </c>
      <c r="BM91" s="15">
        <v>-7.1652008023678257E-2</v>
      </c>
    </row>
    <row r="92" spans="1:65" x14ac:dyDescent="0.2">
      <c r="A92" s="10" t="s">
        <v>88</v>
      </c>
      <c r="B92" s="12">
        <v>0.344247942566976</v>
      </c>
      <c r="C92" s="12">
        <v>0.3638306968790081</v>
      </c>
      <c r="D92" s="12">
        <v>0</v>
      </c>
      <c r="E92" s="12">
        <v>0.67326732673267331</v>
      </c>
      <c r="F92" s="12">
        <v>0.33278099972383318</v>
      </c>
      <c r="G92" s="12">
        <v>0.35284463894967177</v>
      </c>
      <c r="H92" s="12">
        <v>0.36643571978444961</v>
      </c>
      <c r="I92" s="12">
        <v>0.39686520376175549</v>
      </c>
      <c r="J92" s="13">
        <v>0.35605199999999998</v>
      </c>
      <c r="L92" s="7" t="s">
        <v>88</v>
      </c>
      <c r="M92" s="11">
        <f t="shared" si="9"/>
        <v>-1.1804057433023984E-2</v>
      </c>
      <c r="N92" s="11">
        <f t="shared" si="10"/>
        <v>7.7786968790081179E-3</v>
      </c>
      <c r="O92" s="11">
        <f t="shared" si="11"/>
        <v>-0.35605199999999998</v>
      </c>
      <c r="P92" s="11">
        <f t="shared" si="12"/>
        <v>0.31721532673267333</v>
      </c>
      <c r="Q92" s="11">
        <f t="shared" si="13"/>
        <v>-2.3271000276166798E-2</v>
      </c>
      <c r="R92" s="11">
        <f t="shared" si="14"/>
        <v>-3.2073610503282057E-3</v>
      </c>
      <c r="S92" s="11">
        <f t="shared" si="15"/>
        <v>1.038371978444963E-2</v>
      </c>
      <c r="T92" s="11">
        <f t="shared" si="16"/>
        <v>4.0813203761755512E-2</v>
      </c>
      <c r="V92" s="3">
        <v>89</v>
      </c>
      <c r="W92" s="4" t="s">
        <v>88</v>
      </c>
      <c r="X92" s="5">
        <v>0.35605199999999998</v>
      </c>
      <c r="Y92" s="5">
        <v>0.47884300000000002</v>
      </c>
      <c r="AA92" s="7" t="s">
        <v>12</v>
      </c>
      <c r="AB92" s="15">
        <v>0.39170022763088769</v>
      </c>
      <c r="AC92" s="15">
        <v>-2.8651772369112316E-2</v>
      </c>
      <c r="AD92" s="15">
        <v>-5.8043247889326202E-2</v>
      </c>
      <c r="AF92" s="7" t="s">
        <v>55</v>
      </c>
      <c r="AG92" s="15">
        <v>1.8383924754168449E-2</v>
      </c>
      <c r="AH92" s="15">
        <v>-9.359075245831551E-3</v>
      </c>
      <c r="AI92" s="15">
        <v>-5.6984140561565706E-2</v>
      </c>
      <c r="AK92" s="7" t="s">
        <v>37</v>
      </c>
      <c r="AL92" s="15">
        <v>8.4210526315789472E-2</v>
      </c>
      <c r="AM92" s="15">
        <v>-2.380647368421053E-2</v>
      </c>
      <c r="AN92" s="15">
        <v>-7.6693642873008366E-2</v>
      </c>
      <c r="AP92" s="7" t="s">
        <v>84</v>
      </c>
      <c r="AQ92" s="15">
        <v>9.9009900990099011E-3</v>
      </c>
      <c r="AR92" s="15">
        <v>-2.9510009900990099E-2</v>
      </c>
      <c r="AS92" s="15">
        <v>-0.1516631542481606</v>
      </c>
      <c r="AU92" s="7" t="s">
        <v>113</v>
      </c>
      <c r="AV92" s="15">
        <v>0</v>
      </c>
      <c r="AW92" s="15">
        <v>-7.7120000000000001E-3</v>
      </c>
      <c r="AX92" s="15">
        <v>-6.2833026446577261E-2</v>
      </c>
      <c r="AZ92" s="7" t="s">
        <v>12</v>
      </c>
      <c r="BA92" s="15">
        <v>0.37964989059080961</v>
      </c>
      <c r="BB92" s="15">
        <v>-4.070210940919039E-2</v>
      </c>
      <c r="BC92" s="15">
        <v>-8.2455025665461423E-2</v>
      </c>
      <c r="BE92" s="7" t="s">
        <v>107</v>
      </c>
      <c r="BF92" s="15">
        <v>0.40723633564280209</v>
      </c>
      <c r="BG92" s="15">
        <v>-3.059266435719793E-2</v>
      </c>
      <c r="BH92" s="15">
        <v>-6.1662348643501987E-2</v>
      </c>
      <c r="BJ92" s="7" t="s">
        <v>100</v>
      </c>
      <c r="BK92" s="15">
        <v>4.4305120167189127E-2</v>
      </c>
      <c r="BL92" s="15">
        <v>-1.8942879832810872E-2</v>
      </c>
      <c r="BM92" s="15">
        <v>-7.7821333249022753E-2</v>
      </c>
    </row>
    <row r="93" spans="1:65" x14ac:dyDescent="0.2">
      <c r="A93" s="10" t="s">
        <v>89</v>
      </c>
      <c r="B93" s="12">
        <v>7.3542286814918577E-3</v>
      </c>
      <c r="C93" s="12">
        <v>4.2753313381787093E-3</v>
      </c>
      <c r="D93" s="12">
        <v>0</v>
      </c>
      <c r="E93" s="12">
        <v>0</v>
      </c>
      <c r="F93" s="12">
        <v>6.0756697045015193E-3</v>
      </c>
      <c r="G93" s="12">
        <v>6.0175054704595188E-3</v>
      </c>
      <c r="H93" s="12">
        <v>3.8491147036181679E-3</v>
      </c>
      <c r="I93" s="12">
        <v>5.8516196447230932E-3</v>
      </c>
      <c r="J93" s="13">
        <v>5.9090000000000002E-3</v>
      </c>
      <c r="L93" s="7" t="s">
        <v>89</v>
      </c>
      <c r="M93" s="11">
        <f t="shared" si="9"/>
        <v>1.4452286814918575E-3</v>
      </c>
      <c r="N93" s="11">
        <f t="shared" si="10"/>
        <v>-1.6336686618212909E-3</v>
      </c>
      <c r="O93" s="11">
        <f t="shared" si="11"/>
        <v>-5.9090000000000002E-3</v>
      </c>
      <c r="P93" s="11">
        <f t="shared" si="12"/>
        <v>-5.9090000000000002E-3</v>
      </c>
      <c r="Q93" s="11">
        <f t="shared" si="13"/>
        <v>1.6666970450151912E-4</v>
      </c>
      <c r="R93" s="11">
        <f t="shared" si="14"/>
        <v>1.0850547045951862E-4</v>
      </c>
      <c r="S93" s="11">
        <f t="shared" si="15"/>
        <v>-2.0598852963818323E-3</v>
      </c>
      <c r="T93" s="11">
        <f t="shared" si="16"/>
        <v>-5.7380355276906957E-5</v>
      </c>
      <c r="V93" s="3">
        <v>90</v>
      </c>
      <c r="W93" s="4" t="s">
        <v>89</v>
      </c>
      <c r="X93" s="5">
        <v>5.9090000000000002E-3</v>
      </c>
      <c r="Y93" s="5">
        <v>7.6646000000000006E-2</v>
      </c>
      <c r="AA93" s="7" t="s">
        <v>113</v>
      </c>
      <c r="AB93" s="15">
        <v>0</v>
      </c>
      <c r="AC93" s="15">
        <v>-7.7120000000000001E-3</v>
      </c>
      <c r="AD93" s="15">
        <v>-6.2833026446577261E-2</v>
      </c>
      <c r="AF93" s="7" t="s">
        <v>113</v>
      </c>
      <c r="AG93" s="15">
        <v>0</v>
      </c>
      <c r="AH93" s="15">
        <v>-7.7120000000000001E-3</v>
      </c>
      <c r="AI93" s="15">
        <v>-6.2833026446577261E-2</v>
      </c>
      <c r="AK93" s="7" t="s">
        <v>89</v>
      </c>
      <c r="AL93" s="15">
        <v>0</v>
      </c>
      <c r="AM93" s="15">
        <v>-5.9090000000000002E-3</v>
      </c>
      <c r="AN93" s="15">
        <v>-7.7094695091720372E-2</v>
      </c>
      <c r="AP93" s="7" t="s">
        <v>85</v>
      </c>
      <c r="AQ93" s="15">
        <v>9.9009900990099011E-3</v>
      </c>
      <c r="AR93" s="15">
        <v>-3.0562009900990096E-2</v>
      </c>
      <c r="AS93" s="15">
        <v>-0.15510010251863818</v>
      </c>
      <c r="AU93" s="7" t="s">
        <v>112</v>
      </c>
      <c r="AV93" s="15">
        <v>0</v>
      </c>
      <c r="AW93" s="15">
        <v>-5.1079999999999997E-3</v>
      </c>
      <c r="AX93" s="15">
        <v>-7.1652008023678257E-2</v>
      </c>
      <c r="AZ93" s="7" t="s">
        <v>64</v>
      </c>
      <c r="BA93" s="15">
        <v>8.1509846827133484E-2</v>
      </c>
      <c r="BB93" s="15">
        <v>-2.5906153172866514E-2</v>
      </c>
      <c r="BC93" s="15">
        <v>-8.3662693921739112E-2</v>
      </c>
      <c r="BE93" s="7" t="s">
        <v>113</v>
      </c>
      <c r="BF93" s="15">
        <v>0</v>
      </c>
      <c r="BG93" s="15">
        <v>-7.7120000000000001E-3</v>
      </c>
      <c r="BH93" s="15">
        <v>-6.2833026446577261E-2</v>
      </c>
      <c r="BJ93" s="7" t="s">
        <v>68</v>
      </c>
      <c r="BK93" s="15">
        <v>8.9028213166144204E-2</v>
      </c>
      <c r="BL93" s="15">
        <v>-2.7652786833855802E-2</v>
      </c>
      <c r="BM93" s="15">
        <v>-8.6132873694450066E-2</v>
      </c>
    </row>
    <row r="94" spans="1:65" x14ac:dyDescent="0.2">
      <c r="A94" s="10" t="s">
        <v>90</v>
      </c>
      <c r="B94" s="12">
        <v>0.27805988443354929</v>
      </c>
      <c r="C94" s="12">
        <v>0.25138948268490813</v>
      </c>
      <c r="D94" s="12">
        <v>0</v>
      </c>
      <c r="E94" s="12">
        <v>0.2277227722772277</v>
      </c>
      <c r="F94" s="12">
        <v>0.204087268710301</v>
      </c>
      <c r="G94" s="12">
        <v>0.26367614879649892</v>
      </c>
      <c r="H94" s="12">
        <v>0.2702078521939954</v>
      </c>
      <c r="I94" s="12">
        <v>0.30198537095088818</v>
      </c>
      <c r="J94" s="13">
        <v>0.26120500000000002</v>
      </c>
      <c r="L94" s="7" t="s">
        <v>90</v>
      </c>
      <c r="M94" s="11">
        <f t="shared" si="9"/>
        <v>1.6854884433549266E-2</v>
      </c>
      <c r="N94" s="11">
        <f t="shared" si="10"/>
        <v>-9.8155173150918928E-3</v>
      </c>
      <c r="O94" s="11">
        <f t="shared" si="11"/>
        <v>-0.26120500000000002</v>
      </c>
      <c r="P94" s="11">
        <f t="shared" si="12"/>
        <v>-3.3482227722772318E-2</v>
      </c>
      <c r="Q94" s="11">
        <f t="shared" si="13"/>
        <v>-5.711773128969902E-2</v>
      </c>
      <c r="R94" s="11">
        <f t="shared" si="14"/>
        <v>2.471148796498901E-3</v>
      </c>
      <c r="S94" s="11">
        <f t="shared" si="15"/>
        <v>9.0028521939953809E-3</v>
      </c>
      <c r="T94" s="11">
        <f t="shared" si="16"/>
        <v>4.0780370950888156E-2</v>
      </c>
      <c r="V94" s="3">
        <v>91</v>
      </c>
      <c r="W94" s="4" t="s">
        <v>90</v>
      </c>
      <c r="X94" s="5">
        <v>0.26120500000000002</v>
      </c>
      <c r="Y94" s="5">
        <v>0.43930200000000003</v>
      </c>
      <c r="AA94" s="7" t="s">
        <v>81</v>
      </c>
      <c r="AB94" s="15">
        <v>9.227805988443355E-2</v>
      </c>
      <c r="AC94" s="15">
        <v>-1.9995940115566449E-2</v>
      </c>
      <c r="AD94" s="15">
        <v>-6.3336216082323538E-2</v>
      </c>
      <c r="AF94" s="7" t="s">
        <v>31</v>
      </c>
      <c r="AG94" s="15">
        <v>9.7905087644292427E-2</v>
      </c>
      <c r="AH94" s="15">
        <v>-2.2431912355707573E-2</v>
      </c>
      <c r="AI94" s="15">
        <v>-6.8944263348037646E-2</v>
      </c>
      <c r="AK94" s="7" t="s">
        <v>25</v>
      </c>
      <c r="AL94" s="15">
        <v>8.771929824561403E-2</v>
      </c>
      <c r="AM94" s="15">
        <v>-2.5756701754385963E-2</v>
      </c>
      <c r="AN94" s="15">
        <v>-8.1204802776910293E-2</v>
      </c>
      <c r="AP94" s="7" t="s">
        <v>71</v>
      </c>
      <c r="AQ94" s="15">
        <v>0.86138613861386137</v>
      </c>
      <c r="AR94" s="15">
        <v>-0.12714586138613859</v>
      </c>
      <c r="AS94" s="15">
        <v>-0.1567349033871849</v>
      </c>
      <c r="AU94" s="7" t="s">
        <v>53</v>
      </c>
      <c r="AV94" s="15">
        <v>2.3474178403755871E-2</v>
      </c>
      <c r="AW94" s="15">
        <v>-1.3883821596244132E-2</v>
      </c>
      <c r="AX94" s="15">
        <v>-7.3210689595364586E-2</v>
      </c>
      <c r="AZ94" s="7" t="s">
        <v>19</v>
      </c>
      <c r="BA94" s="15">
        <v>9.0809628008752738E-2</v>
      </c>
      <c r="BB94" s="15">
        <v>-3.1630371991247255E-2</v>
      </c>
      <c r="BC94" s="15">
        <v>-9.6492603717643496E-2</v>
      </c>
      <c r="BE94" s="7" t="s">
        <v>28</v>
      </c>
      <c r="BF94" s="15">
        <v>0.39953810623556579</v>
      </c>
      <c r="BG94" s="15">
        <v>-3.1429893764434225E-2</v>
      </c>
      <c r="BH94" s="15">
        <v>-6.3466014903224052E-2</v>
      </c>
      <c r="BJ94" s="7" t="s">
        <v>46</v>
      </c>
      <c r="BK94" s="15">
        <v>0.10198537095088819</v>
      </c>
      <c r="BL94" s="15">
        <v>-3.1821629049111816E-2</v>
      </c>
      <c r="BM94" s="15">
        <v>-9.3468219051947743E-2</v>
      </c>
    </row>
    <row r="95" spans="1:65" x14ac:dyDescent="0.2">
      <c r="A95" s="10" t="s">
        <v>91</v>
      </c>
      <c r="B95" s="12">
        <v>0.1330765189984241</v>
      </c>
      <c r="C95" s="12">
        <v>0.15433946130825141</v>
      </c>
      <c r="D95" s="12">
        <v>0</v>
      </c>
      <c r="E95" s="12">
        <v>3.9603960396039598E-2</v>
      </c>
      <c r="F95" s="12">
        <v>0.17177575255454289</v>
      </c>
      <c r="G95" s="12">
        <v>0.14442013129102849</v>
      </c>
      <c r="H95" s="12">
        <v>0.15011547344110851</v>
      </c>
      <c r="I95" s="12">
        <v>9.9477533960292575E-2</v>
      </c>
      <c r="J95" s="13">
        <v>0.13430800000000001</v>
      </c>
      <c r="L95" s="7" t="s">
        <v>91</v>
      </c>
      <c r="M95" s="11">
        <f t="shared" si="9"/>
        <v>-1.2314810015759126E-3</v>
      </c>
      <c r="N95" s="11">
        <f t="shared" si="10"/>
        <v>2.0031461308251397E-2</v>
      </c>
      <c r="O95" s="11">
        <f t="shared" si="11"/>
        <v>-0.13430800000000001</v>
      </c>
      <c r="P95" s="11">
        <f t="shared" si="12"/>
        <v>-9.4704039603960413E-2</v>
      </c>
      <c r="Q95" s="11">
        <f t="shared" si="13"/>
        <v>3.7467752554542877E-2</v>
      </c>
      <c r="R95" s="11">
        <f t="shared" si="14"/>
        <v>1.0112131291028476E-2</v>
      </c>
      <c r="S95" s="11">
        <f t="shared" si="15"/>
        <v>1.5807473441108499E-2</v>
      </c>
      <c r="T95" s="11">
        <f t="shared" si="16"/>
        <v>-3.4830466039707436E-2</v>
      </c>
      <c r="V95" s="3">
        <v>92</v>
      </c>
      <c r="W95" s="4" t="s">
        <v>91</v>
      </c>
      <c r="X95" s="5">
        <v>0.13430800000000001</v>
      </c>
      <c r="Y95" s="5">
        <v>0.34099200000000002</v>
      </c>
      <c r="AA95" s="7" t="s">
        <v>100</v>
      </c>
      <c r="AB95" s="15">
        <v>4.7102083698126421E-2</v>
      </c>
      <c r="AC95" s="15">
        <v>-1.6145916301873578E-2</v>
      </c>
      <c r="AD95" s="15">
        <v>-6.6330818979412023E-2</v>
      </c>
      <c r="AF95" s="7" t="s">
        <v>112</v>
      </c>
      <c r="AG95" s="15">
        <v>0</v>
      </c>
      <c r="AH95" s="15">
        <v>-5.1079999999999997E-3</v>
      </c>
      <c r="AI95" s="15">
        <v>-7.1652008023678257E-2</v>
      </c>
      <c r="AK95" s="7" t="s">
        <v>101</v>
      </c>
      <c r="AL95" s="15">
        <v>0</v>
      </c>
      <c r="AM95" s="15">
        <v>-6.8609999999999999E-3</v>
      </c>
      <c r="AN95" s="15">
        <v>-8.311729217648342E-2</v>
      </c>
      <c r="AP95" s="7" t="s">
        <v>58</v>
      </c>
      <c r="AQ95" s="15">
        <v>0</v>
      </c>
      <c r="AR95" s="15">
        <v>-2.8393999999999999E-2</v>
      </c>
      <c r="AS95" s="15">
        <v>-0.17094521372667068</v>
      </c>
      <c r="AU95" s="7" t="s">
        <v>79</v>
      </c>
      <c r="AV95" s="15">
        <v>6.3518365092515884E-3</v>
      </c>
      <c r="AW95" s="15">
        <v>-9.1221634907484115E-3</v>
      </c>
      <c r="AX95" s="15">
        <v>-7.3904963021837397E-2</v>
      </c>
      <c r="AZ95" s="7" t="s">
        <v>63</v>
      </c>
      <c r="BA95" s="15">
        <v>8.0962800875273522E-2</v>
      </c>
      <c r="BB95" s="15">
        <v>-3.1561199124726477E-2</v>
      </c>
      <c r="BC95" s="15">
        <v>-9.9871523535768447E-2</v>
      </c>
      <c r="BE95" s="7" t="s">
        <v>6</v>
      </c>
      <c r="BF95" s="15">
        <v>0.14318706697459591</v>
      </c>
      <c r="BG95" s="15">
        <v>-2.3721933025404096E-2</v>
      </c>
      <c r="BH95" s="15">
        <v>-6.3614048187748309E-2</v>
      </c>
      <c r="BJ95" s="7" t="s">
        <v>69</v>
      </c>
      <c r="BK95" s="15">
        <v>5.7889237199582028E-2</v>
      </c>
      <c r="BL95" s="15">
        <v>-2.6190762800417974E-2</v>
      </c>
      <c r="BM95" s="15">
        <v>-9.4376025801913316E-2</v>
      </c>
    </row>
    <row r="96" spans="1:65" x14ac:dyDescent="0.2">
      <c r="A96" s="10" t="s">
        <v>92</v>
      </c>
      <c r="B96" s="12">
        <v>1.085624233934512E-2</v>
      </c>
      <c r="C96" s="12">
        <v>1.496365968362548E-2</v>
      </c>
      <c r="D96" s="12">
        <v>0</v>
      </c>
      <c r="E96" s="12">
        <v>9.9009900990099011E-3</v>
      </c>
      <c r="F96" s="12">
        <v>2.0436343551505112E-2</v>
      </c>
      <c r="G96" s="12">
        <v>1.3129102844638949E-2</v>
      </c>
      <c r="H96" s="12">
        <v>1.4626635873749041E-2</v>
      </c>
      <c r="I96" s="12">
        <v>9.1954022988505746E-3</v>
      </c>
      <c r="J96" s="13">
        <v>1.2970000000000001E-2</v>
      </c>
      <c r="L96" s="7" t="s">
        <v>92</v>
      </c>
      <c r="M96" s="11">
        <f t="shared" si="9"/>
        <v>-2.1137576606548806E-3</v>
      </c>
      <c r="N96" s="11">
        <f t="shared" si="10"/>
        <v>1.9936596836254792E-3</v>
      </c>
      <c r="O96" s="11">
        <f t="shared" si="11"/>
        <v>-1.2970000000000001E-2</v>
      </c>
      <c r="P96" s="11">
        <f t="shared" si="12"/>
        <v>-3.0690099009900995E-3</v>
      </c>
      <c r="Q96" s="11">
        <f t="shared" si="13"/>
        <v>7.466343551505111E-3</v>
      </c>
      <c r="R96" s="11">
        <f t="shared" si="14"/>
        <v>1.5910284463894857E-4</v>
      </c>
      <c r="S96" s="11">
        <f t="shared" si="15"/>
        <v>1.6566358737490402E-3</v>
      </c>
      <c r="T96" s="11">
        <f t="shared" si="16"/>
        <v>-3.774597701149426E-3</v>
      </c>
      <c r="V96" s="3">
        <v>93</v>
      </c>
      <c r="W96" s="4" t="s">
        <v>92</v>
      </c>
      <c r="X96" s="5">
        <v>1.2970000000000001E-2</v>
      </c>
      <c r="Y96" s="5">
        <v>0.113148</v>
      </c>
      <c r="AA96" s="7" t="s">
        <v>106</v>
      </c>
      <c r="AB96" s="15">
        <v>0.98113640343196551</v>
      </c>
      <c r="AC96" s="15">
        <v>-6.3144596568034506E-2</v>
      </c>
      <c r="AD96" s="15">
        <v>-6.7398953298118333E-2</v>
      </c>
      <c r="AF96" s="7" t="s">
        <v>87</v>
      </c>
      <c r="AG96" s="15">
        <v>4.1470713980333473E-2</v>
      </c>
      <c r="AH96" s="15">
        <v>-1.9624286019666523E-2</v>
      </c>
      <c r="AI96" s="15">
        <v>-8.193514266488465E-2</v>
      </c>
      <c r="AK96" s="7" t="s">
        <v>107</v>
      </c>
      <c r="AL96" s="15">
        <v>0.39649122807017539</v>
      </c>
      <c r="AM96" s="15">
        <v>-4.1337771929824629E-2</v>
      </c>
      <c r="AN96" s="15">
        <v>-8.3320108216814529E-2</v>
      </c>
      <c r="AP96" s="7" t="s">
        <v>103</v>
      </c>
      <c r="AQ96" s="15">
        <v>0</v>
      </c>
      <c r="AR96" s="15">
        <v>-2.8393999999999999E-2</v>
      </c>
      <c r="AS96" s="15">
        <v>-0.17094521372667068</v>
      </c>
      <c r="AU96" s="7" t="s">
        <v>75</v>
      </c>
      <c r="AV96" s="15">
        <v>7.815520574426954E-2</v>
      </c>
      <c r="AW96" s="15">
        <v>-2.8159794255730466E-2</v>
      </c>
      <c r="AX96" s="15">
        <v>-9.1354345383361651E-2</v>
      </c>
      <c r="AZ96" s="7" t="s">
        <v>30</v>
      </c>
      <c r="BA96" s="15">
        <v>9.5733041575492339E-2</v>
      </c>
      <c r="BB96" s="15">
        <v>-3.5119958424507658E-2</v>
      </c>
      <c r="BC96" s="15">
        <v>-0.10413689161835699</v>
      </c>
      <c r="BE96" s="7" t="s">
        <v>77</v>
      </c>
      <c r="BF96" s="15">
        <v>8.6220169361046956E-2</v>
      </c>
      <c r="BG96" s="15">
        <v>-1.959383063895305E-2</v>
      </c>
      <c r="BH96" s="15">
        <v>-6.3697609738897515E-2</v>
      </c>
      <c r="BJ96" s="7" t="s">
        <v>83</v>
      </c>
      <c r="BK96" s="15">
        <v>4.1797283176593522E-4</v>
      </c>
      <c r="BL96" s="15">
        <v>-9.6480271682340656E-3</v>
      </c>
      <c r="BM96" s="15">
        <v>-9.6650376344707342E-2</v>
      </c>
    </row>
    <row r="97" spans="1:65" x14ac:dyDescent="0.2">
      <c r="A97" s="10" t="s">
        <v>93</v>
      </c>
      <c r="B97" s="12">
        <v>88.31677464542112</v>
      </c>
      <c r="C97" s="12">
        <v>88.568790081231299</v>
      </c>
      <c r="D97" s="12">
        <v>0</v>
      </c>
      <c r="E97" s="12">
        <v>92.042574257425699</v>
      </c>
      <c r="F97" s="12">
        <v>87.795470864401935</v>
      </c>
      <c r="G97" s="12">
        <v>89.213730853391695</v>
      </c>
      <c r="H97" s="12">
        <v>89.172517321016372</v>
      </c>
      <c r="I97" s="12">
        <v>89.373772204806386</v>
      </c>
      <c r="J97" s="13">
        <v>87.401196999999996</v>
      </c>
      <c r="L97" s="7" t="s">
        <v>93</v>
      </c>
      <c r="M97" s="11">
        <f t="shared" si="9"/>
        <v>0.91557764542112352</v>
      </c>
      <c r="N97" s="11">
        <f t="shared" si="10"/>
        <v>1.1675930812313027</v>
      </c>
      <c r="O97" s="11">
        <f t="shared" si="11"/>
        <v>-87.401196999999996</v>
      </c>
      <c r="P97" s="11">
        <f t="shared" si="12"/>
        <v>4.6413772574257024</v>
      </c>
      <c r="Q97" s="11">
        <f t="shared" si="13"/>
        <v>0.39427386440193857</v>
      </c>
      <c r="R97" s="11">
        <f t="shared" si="14"/>
        <v>1.8125338533916988</v>
      </c>
      <c r="S97" s="11">
        <f t="shared" si="15"/>
        <v>1.7713203210163755</v>
      </c>
      <c r="T97" s="11">
        <f t="shared" si="16"/>
        <v>1.9725752048063896</v>
      </c>
      <c r="V97" s="3">
        <v>94</v>
      </c>
      <c r="W97" s="4" t="s">
        <v>93</v>
      </c>
      <c r="X97" s="5">
        <v>87.401196999999996</v>
      </c>
      <c r="Y97" s="5">
        <v>12.241847999999999</v>
      </c>
      <c r="AA97" s="7" t="s">
        <v>112</v>
      </c>
      <c r="AB97" s="15">
        <v>0</v>
      </c>
      <c r="AC97" s="15">
        <v>-5.1079999999999997E-3</v>
      </c>
      <c r="AD97" s="15">
        <v>-7.1652008023678257E-2</v>
      </c>
      <c r="AF97" s="7" t="s">
        <v>84</v>
      </c>
      <c r="AG97" s="15">
        <v>2.3086789226165031E-2</v>
      </c>
      <c r="AH97" s="15">
        <v>-1.6324210773834971E-2</v>
      </c>
      <c r="AI97" s="15">
        <v>-8.389632212521056E-2</v>
      </c>
      <c r="AK97" s="7" t="s">
        <v>67</v>
      </c>
      <c r="AL97" s="15">
        <v>8.4210526315789472E-2</v>
      </c>
      <c r="AM97" s="15">
        <v>-3.5575473684210532E-2</v>
      </c>
      <c r="AN97" s="15">
        <v>-0.10955772124270688</v>
      </c>
      <c r="AP97" s="7" t="s">
        <v>87</v>
      </c>
      <c r="AQ97" s="15">
        <v>1.9801980198019799E-2</v>
      </c>
      <c r="AR97" s="15">
        <v>-4.1293019801980198E-2</v>
      </c>
      <c r="AS97" s="15">
        <v>-0.17240624525898793</v>
      </c>
      <c r="AU97" s="7" t="s">
        <v>49</v>
      </c>
      <c r="AV97" s="15">
        <v>0.30903065451532719</v>
      </c>
      <c r="AW97" s="15">
        <v>-4.8523345484672797E-2</v>
      </c>
      <c r="AX97" s="15">
        <v>-0.101239631549604</v>
      </c>
      <c r="AZ97" s="7" t="s">
        <v>84</v>
      </c>
      <c r="BA97" s="15">
        <v>1.8052516411378561E-2</v>
      </c>
      <c r="BB97" s="15">
        <v>-2.1358483588621441E-2</v>
      </c>
      <c r="BC97" s="15">
        <v>-0.1097693630695535</v>
      </c>
      <c r="BE97" s="7" t="s">
        <v>65</v>
      </c>
      <c r="BF97" s="15">
        <v>8.8529638183217865E-2</v>
      </c>
      <c r="BG97" s="15">
        <v>-2.109036181678213E-2</v>
      </c>
      <c r="BH97" s="15">
        <v>-6.7505791240664512E-2</v>
      </c>
      <c r="BJ97" s="7" t="s">
        <v>70</v>
      </c>
      <c r="BK97" s="15">
        <v>7.3145245559038674E-3</v>
      </c>
      <c r="BL97" s="15">
        <v>-1.4619475444096131E-2</v>
      </c>
      <c r="BM97" s="15">
        <v>-9.9810717707794885E-2</v>
      </c>
    </row>
    <row r="98" spans="1:65" x14ac:dyDescent="0.2">
      <c r="A98" s="10" t="s">
        <v>94</v>
      </c>
      <c r="B98" s="12">
        <v>0.24163894239187531</v>
      </c>
      <c r="C98" s="12">
        <v>0.28174433518597691</v>
      </c>
      <c r="D98" s="12">
        <v>0</v>
      </c>
      <c r="E98" s="12">
        <v>6.9306930693069313E-2</v>
      </c>
      <c r="F98" s="12">
        <v>0.32780999723833187</v>
      </c>
      <c r="G98" s="12">
        <v>0.26750547045951861</v>
      </c>
      <c r="H98" s="12">
        <v>0.24095458044649731</v>
      </c>
      <c r="I98" s="12">
        <v>0.193312434691745</v>
      </c>
      <c r="J98" s="13">
        <v>0.24838499999999999</v>
      </c>
      <c r="L98" s="7" t="s">
        <v>94</v>
      </c>
      <c r="M98" s="11">
        <f t="shared" si="9"/>
        <v>-6.7460576081246892E-3</v>
      </c>
      <c r="N98" s="11">
        <f t="shared" si="10"/>
        <v>3.3359335185976918E-2</v>
      </c>
      <c r="O98" s="11">
        <f t="shared" si="11"/>
        <v>-0.24838499999999999</v>
      </c>
      <c r="P98" s="11">
        <f t="shared" si="12"/>
        <v>-0.17907806930693068</v>
      </c>
      <c r="Q98" s="11">
        <f t="shared" si="13"/>
        <v>7.9424997238331879E-2</v>
      </c>
      <c r="R98" s="11">
        <f t="shared" si="14"/>
        <v>1.9120470459518618E-2</v>
      </c>
      <c r="S98" s="11">
        <f t="shared" si="15"/>
        <v>-7.4304195535026818E-3</v>
      </c>
      <c r="T98" s="11">
        <f t="shared" si="16"/>
        <v>-5.5072565308254995E-2</v>
      </c>
      <c r="V98" s="3">
        <v>95</v>
      </c>
      <c r="W98" s="4" t="s">
        <v>94</v>
      </c>
      <c r="X98" s="5">
        <v>0.24838499999999999</v>
      </c>
      <c r="Y98" s="5">
        <v>0.432087</v>
      </c>
      <c r="AA98" s="7" t="s">
        <v>84</v>
      </c>
      <c r="AB98" s="15">
        <v>2.2412887410260901E-2</v>
      </c>
      <c r="AC98" s="15">
        <v>-1.6998112589739101E-2</v>
      </c>
      <c r="AD98" s="15">
        <v>-8.7359759629857231E-2</v>
      </c>
      <c r="AF98" s="7" t="s">
        <v>81</v>
      </c>
      <c r="AG98" s="15">
        <v>8.5079093629756311E-2</v>
      </c>
      <c r="AH98" s="15">
        <v>-2.7194906370243688E-2</v>
      </c>
      <c r="AI98" s="15">
        <v>-8.6138608950095771E-2</v>
      </c>
      <c r="AK98" s="7" t="s">
        <v>92</v>
      </c>
      <c r="AL98" s="15">
        <v>0</v>
      </c>
      <c r="AM98" s="15">
        <v>-1.2970000000000001E-2</v>
      </c>
      <c r="AN98" s="15">
        <v>-0.11462862799165695</v>
      </c>
      <c r="AP98" s="7" t="s">
        <v>95</v>
      </c>
      <c r="AQ98" s="15">
        <v>0.38613861386138609</v>
      </c>
      <c r="AR98" s="15">
        <v>-8.8847386138613926E-2</v>
      </c>
      <c r="AS98" s="15">
        <v>-0.17791324974791831</v>
      </c>
      <c r="AU98" s="7" t="s">
        <v>45</v>
      </c>
      <c r="AV98" s="15">
        <v>9.2792046396023203E-2</v>
      </c>
      <c r="AW98" s="15">
        <v>-3.3953953603976794E-2</v>
      </c>
      <c r="AX98" s="15">
        <v>-0.10205668702746581</v>
      </c>
      <c r="AZ98" s="7" t="s">
        <v>20</v>
      </c>
      <c r="BA98" s="15">
        <v>7.932166301969365E-2</v>
      </c>
      <c r="BB98" s="15">
        <v>-3.8410336980306353E-2</v>
      </c>
      <c r="BC98" s="15">
        <v>-0.11917609728949315</v>
      </c>
      <c r="BE98" s="7" t="s">
        <v>112</v>
      </c>
      <c r="BF98" s="15">
        <v>0</v>
      </c>
      <c r="BG98" s="15">
        <v>-5.1079999999999997E-3</v>
      </c>
      <c r="BH98" s="15">
        <v>-7.1652008023678257E-2</v>
      </c>
      <c r="BJ98" s="7" t="s">
        <v>80</v>
      </c>
      <c r="BK98" s="15">
        <v>1.671891327063741E-2</v>
      </c>
      <c r="BL98" s="15">
        <v>-1.8686086729362589E-2</v>
      </c>
      <c r="BM98" s="15">
        <v>-0.10111190507539035</v>
      </c>
    </row>
    <row r="99" spans="1:65" x14ac:dyDescent="0.2">
      <c r="A99" s="10" t="s">
        <v>95</v>
      </c>
      <c r="B99" s="12">
        <v>0.55191735247767471</v>
      </c>
      <c r="C99" s="12">
        <v>0.42325780247969219</v>
      </c>
      <c r="D99" s="12">
        <v>0</v>
      </c>
      <c r="E99" s="12">
        <v>0.38613861386138609</v>
      </c>
      <c r="F99" s="12">
        <v>0.40154653410660041</v>
      </c>
      <c r="G99" s="12">
        <v>0.38566739606126921</v>
      </c>
      <c r="H99" s="12">
        <v>0.43648960739030018</v>
      </c>
      <c r="I99" s="12">
        <v>0.53876698014629054</v>
      </c>
      <c r="J99" s="13">
        <v>0.47498600000000002</v>
      </c>
      <c r="L99" s="7" t="s">
        <v>95</v>
      </c>
      <c r="M99" s="11">
        <f t="shared" si="9"/>
        <v>7.6931352477674686E-2</v>
      </c>
      <c r="N99" s="11">
        <f t="shared" si="10"/>
        <v>-5.1728197520307828E-2</v>
      </c>
      <c r="O99" s="11">
        <f t="shared" si="11"/>
        <v>-0.47498600000000002</v>
      </c>
      <c r="P99" s="11">
        <f t="shared" si="12"/>
        <v>-8.8847386138613926E-2</v>
      </c>
      <c r="Q99" s="11">
        <f t="shared" si="13"/>
        <v>-7.3439465893399614E-2</v>
      </c>
      <c r="R99" s="11">
        <f t="shared" si="14"/>
        <v>-8.9318603938730812E-2</v>
      </c>
      <c r="S99" s="11">
        <f t="shared" si="15"/>
        <v>-3.8496392609699837E-2</v>
      </c>
      <c r="T99" s="11">
        <f t="shared" si="16"/>
        <v>6.3780980146290522E-2</v>
      </c>
      <c r="V99" s="3">
        <v>96</v>
      </c>
      <c r="W99" s="4" t="s">
        <v>95</v>
      </c>
      <c r="X99" s="5">
        <v>0.47498600000000002</v>
      </c>
      <c r="Y99" s="5">
        <v>0.499386</v>
      </c>
      <c r="AA99" s="7" t="s">
        <v>33</v>
      </c>
      <c r="AB99" s="15">
        <v>9.2628261250218877E-2</v>
      </c>
      <c r="AC99" s="15">
        <v>-2.9360738749781123E-2</v>
      </c>
      <c r="AD99" s="15">
        <v>-8.9711100704841173E-2</v>
      </c>
      <c r="AF99" s="7" t="s">
        <v>64</v>
      </c>
      <c r="AG99" s="15">
        <v>7.9948696023941862E-2</v>
      </c>
      <c r="AH99" s="15">
        <v>-2.7467303976058136E-2</v>
      </c>
      <c r="AI99" s="15">
        <v>-8.8704356454248789E-2</v>
      </c>
      <c r="AK99" s="7" t="s">
        <v>19</v>
      </c>
      <c r="AL99" s="15">
        <v>8.4210526315789472E-2</v>
      </c>
      <c r="AM99" s="15">
        <v>-3.8229473684210522E-2</v>
      </c>
      <c r="AN99" s="15">
        <v>-0.11662403007986712</v>
      </c>
      <c r="AP99" s="7" t="s">
        <v>78</v>
      </c>
      <c r="AQ99" s="15">
        <v>8.9108910891089105E-2</v>
      </c>
      <c r="AR99" s="15">
        <v>-6.6282089108910897E-2</v>
      </c>
      <c r="AS99" s="15">
        <v>-0.18295514899529902</v>
      </c>
      <c r="AU99" s="7" t="s">
        <v>70</v>
      </c>
      <c r="AV99" s="15">
        <v>6.9041701187517257E-3</v>
      </c>
      <c r="AW99" s="15">
        <v>-1.5029829881248274E-2</v>
      </c>
      <c r="AX99" s="15">
        <v>-0.10261230734371261</v>
      </c>
      <c r="AZ99" s="7" t="s">
        <v>102</v>
      </c>
      <c r="BA99" s="15">
        <v>0</v>
      </c>
      <c r="BB99" s="15">
        <v>-1.4371999999999999E-2</v>
      </c>
      <c r="BC99" s="15">
        <v>-0.12074977105265368</v>
      </c>
      <c r="BE99" s="7" t="s">
        <v>95</v>
      </c>
      <c r="BF99" s="15">
        <v>0.43648960739030018</v>
      </c>
      <c r="BG99" s="15">
        <v>-3.8496392609699837E-2</v>
      </c>
      <c r="BH99" s="15">
        <v>-7.7087448606288189E-2</v>
      </c>
      <c r="BJ99" s="7" t="s">
        <v>91</v>
      </c>
      <c r="BK99" s="15">
        <v>9.9477533960292575E-2</v>
      </c>
      <c r="BL99" s="15">
        <v>-3.4830466039707436E-2</v>
      </c>
      <c r="BM99" s="15">
        <v>-0.10214452550120658</v>
      </c>
    </row>
    <row r="100" spans="1:65" x14ac:dyDescent="0.2">
      <c r="A100" s="10" t="s">
        <v>96</v>
      </c>
      <c r="B100" s="12">
        <v>0.20644370513044999</v>
      </c>
      <c r="C100" s="12">
        <v>0.2949978623343309</v>
      </c>
      <c r="D100" s="12">
        <v>0</v>
      </c>
      <c r="E100" s="12">
        <v>0.53465346534653468</v>
      </c>
      <c r="F100" s="12">
        <v>0.27064346865506772</v>
      </c>
      <c r="G100" s="12">
        <v>0.34682713347921218</v>
      </c>
      <c r="H100" s="12">
        <v>0.32178598922247881</v>
      </c>
      <c r="I100" s="12">
        <v>0.26792058516196449</v>
      </c>
      <c r="J100" s="13">
        <v>0.26225599999999999</v>
      </c>
      <c r="L100" s="7" t="s">
        <v>96</v>
      </c>
      <c r="M100" s="11">
        <f t="shared" si="9"/>
        <v>-5.581229486955E-2</v>
      </c>
      <c r="N100" s="11">
        <f t="shared" si="10"/>
        <v>3.2741862334330907E-2</v>
      </c>
      <c r="O100" s="11">
        <f t="shared" si="11"/>
        <v>-0.26225599999999999</v>
      </c>
      <c r="P100" s="11">
        <f t="shared" si="12"/>
        <v>0.2723974653465347</v>
      </c>
      <c r="Q100" s="11">
        <f t="shared" si="13"/>
        <v>8.3874686550677313E-3</v>
      </c>
      <c r="R100" s="11">
        <f t="shared" si="14"/>
        <v>8.457113347921219E-2</v>
      </c>
      <c r="S100" s="11">
        <f t="shared" si="15"/>
        <v>5.9529989222478819E-2</v>
      </c>
      <c r="T100" s="11">
        <f t="shared" si="16"/>
        <v>5.6645851619644971E-3</v>
      </c>
      <c r="V100" s="3">
        <v>97</v>
      </c>
      <c r="W100" s="4" t="s">
        <v>96</v>
      </c>
      <c r="X100" s="5">
        <v>0.26225599999999999</v>
      </c>
      <c r="Y100" s="5">
        <v>0.43987199999999999</v>
      </c>
      <c r="AA100" s="7" t="s">
        <v>42</v>
      </c>
      <c r="AB100" s="15">
        <v>6.075993696375416E-2</v>
      </c>
      <c r="AC100" s="15">
        <v>-2.5323063036245846E-2</v>
      </c>
      <c r="AD100" s="15">
        <v>-9.0280230722389235E-2</v>
      </c>
      <c r="AF100" s="7" t="s">
        <v>52</v>
      </c>
      <c r="AG100" s="15">
        <v>5.0021376656690902E-2</v>
      </c>
      <c r="AH100" s="15">
        <v>-2.5345623343309101E-2</v>
      </c>
      <c r="AI100" s="15">
        <v>-9.6010149450579771E-2</v>
      </c>
      <c r="AK100" s="7" t="s">
        <v>3</v>
      </c>
      <c r="AL100" s="15">
        <v>0.10175438596491231</v>
      </c>
      <c r="AM100" s="15">
        <v>-6.2550614035087701E-2</v>
      </c>
      <c r="AN100" s="15">
        <v>-0.1687997766496952</v>
      </c>
      <c r="AP100" s="7" t="s">
        <v>107</v>
      </c>
      <c r="AQ100" s="15">
        <v>0.34653465346534651</v>
      </c>
      <c r="AR100" s="15">
        <v>-9.1294346534653514E-2</v>
      </c>
      <c r="AS100" s="15">
        <v>-0.18401221153776315</v>
      </c>
      <c r="AU100" s="7" t="s">
        <v>59</v>
      </c>
      <c r="AV100" s="15">
        <v>0.24993095829881251</v>
      </c>
      <c r="AW100" s="15">
        <v>-5.2688041701187516E-2</v>
      </c>
      <c r="AX100" s="15">
        <v>-0.11468806625378483</v>
      </c>
      <c r="AZ100" s="7" t="s">
        <v>114</v>
      </c>
      <c r="BA100" s="15">
        <v>0</v>
      </c>
      <c r="BB100" s="15">
        <v>-1.4371999999999999E-2</v>
      </c>
      <c r="BC100" s="15">
        <v>-0.12074977105265368</v>
      </c>
      <c r="BE100" s="7" t="s">
        <v>61</v>
      </c>
      <c r="BF100" s="15">
        <v>8.0831408775981523E-2</v>
      </c>
      <c r="BG100" s="15">
        <v>-2.8538591224018472E-2</v>
      </c>
      <c r="BH100" s="15">
        <v>-9.1437606049208531E-2</v>
      </c>
      <c r="BJ100" s="7" t="s">
        <v>52</v>
      </c>
      <c r="BK100" s="15">
        <v>4.5350052246603968E-2</v>
      </c>
      <c r="BL100" s="15">
        <v>-3.0016947753396035E-2</v>
      </c>
      <c r="BM100" s="15">
        <v>-0.11370529739267939</v>
      </c>
    </row>
    <row r="101" spans="1:65" x14ac:dyDescent="0.2">
      <c r="A101" s="10" t="s">
        <v>97</v>
      </c>
      <c r="B101" s="12">
        <v>0.1075118192960953</v>
      </c>
      <c r="C101" s="12">
        <v>0.1175716117999145</v>
      </c>
      <c r="D101" s="12">
        <v>0</v>
      </c>
      <c r="E101" s="12">
        <v>2.9702970297029702E-2</v>
      </c>
      <c r="F101" s="12">
        <v>0.1245512289422811</v>
      </c>
      <c r="G101" s="12">
        <v>9.9015317286652083E-2</v>
      </c>
      <c r="H101" s="12">
        <v>8.4680523479599687E-2</v>
      </c>
      <c r="I101" s="12">
        <v>8.8610240334378268E-2</v>
      </c>
      <c r="J101" s="13">
        <v>0.10306</v>
      </c>
      <c r="L101" s="7" t="s">
        <v>97</v>
      </c>
      <c r="M101" s="11">
        <f t="shared" si="9"/>
        <v>4.4518192960952968E-3</v>
      </c>
      <c r="N101" s="11">
        <f t="shared" si="10"/>
        <v>1.4511611799914503E-2</v>
      </c>
      <c r="O101" s="11">
        <f t="shared" si="11"/>
        <v>-0.10306</v>
      </c>
      <c r="P101" s="11">
        <f t="shared" si="12"/>
        <v>-7.3357029702970297E-2</v>
      </c>
      <c r="Q101" s="11">
        <f t="shared" si="13"/>
        <v>2.1491228942281101E-2</v>
      </c>
      <c r="R101" s="11">
        <f t="shared" si="14"/>
        <v>-4.0446827133479163E-3</v>
      </c>
      <c r="S101" s="11">
        <f t="shared" si="15"/>
        <v>-1.8379476520400312E-2</v>
      </c>
      <c r="T101" s="11">
        <f t="shared" si="16"/>
        <v>-1.4449759665621731E-2</v>
      </c>
      <c r="V101" s="3">
        <v>98</v>
      </c>
      <c r="W101" s="4" t="s">
        <v>97</v>
      </c>
      <c r="X101" s="5">
        <v>0.10306</v>
      </c>
      <c r="Y101" s="5">
        <v>0.30404500000000001</v>
      </c>
      <c r="AA101" s="7" t="s">
        <v>68</v>
      </c>
      <c r="AB101" s="15">
        <v>8.7550341446331642E-2</v>
      </c>
      <c r="AC101" s="15">
        <v>-2.9130658553668365E-2</v>
      </c>
      <c r="AD101" s="15">
        <v>-9.0736147098466169E-2</v>
      </c>
      <c r="AF101" s="7" t="s">
        <v>95</v>
      </c>
      <c r="AG101" s="15">
        <v>0.42325780247969219</v>
      </c>
      <c r="AH101" s="15">
        <v>-5.1728197520307828E-2</v>
      </c>
      <c r="AI101" s="15">
        <v>-0.1035835956961305</v>
      </c>
      <c r="AK101" s="7" t="s">
        <v>2</v>
      </c>
      <c r="AL101" s="15">
        <v>0.10175438596491231</v>
      </c>
      <c r="AM101" s="15">
        <v>-6.7057614035087684E-2</v>
      </c>
      <c r="AN101" s="15">
        <v>-0.17901363882349652</v>
      </c>
      <c r="AP101" s="7" t="s">
        <v>14</v>
      </c>
      <c r="AQ101" s="15">
        <v>0.17821782178217821</v>
      </c>
      <c r="AR101" s="15">
        <v>-8.3938178217821791E-2</v>
      </c>
      <c r="AS101" s="15">
        <v>-0.19084752833631591</v>
      </c>
      <c r="AU101" s="7" t="s">
        <v>102</v>
      </c>
      <c r="AV101" s="15">
        <v>0</v>
      </c>
      <c r="AW101" s="15">
        <v>-1.4371999999999999E-2</v>
      </c>
      <c r="AX101" s="15">
        <v>-0.12074977105265368</v>
      </c>
      <c r="AZ101" s="7" t="s">
        <v>72</v>
      </c>
      <c r="BA101" s="15">
        <v>2.8791028446389491</v>
      </c>
      <c r="BB101" s="15">
        <v>-0.24604115536105109</v>
      </c>
      <c r="BC101" s="15">
        <v>-0.14358420497188093</v>
      </c>
      <c r="BE101" s="7" t="s">
        <v>9</v>
      </c>
      <c r="BF101" s="15">
        <v>0.45265588914549648</v>
      </c>
      <c r="BG101" s="15">
        <v>-4.7970110854503534E-2</v>
      </c>
      <c r="BH101" s="15">
        <v>-9.5937919198946287E-2</v>
      </c>
      <c r="BJ101" s="7" t="s">
        <v>102</v>
      </c>
      <c r="BK101" s="15">
        <v>0</v>
      </c>
      <c r="BL101" s="15">
        <v>-1.4371999999999999E-2</v>
      </c>
      <c r="BM101" s="15">
        <v>-0.12074977105265368</v>
      </c>
    </row>
    <row r="102" spans="1:65" x14ac:dyDescent="0.2">
      <c r="A102" s="10" t="s">
        <v>98</v>
      </c>
      <c r="B102" s="12">
        <v>0.3971283488005603</v>
      </c>
      <c r="C102" s="12">
        <v>0.35314236853356129</v>
      </c>
      <c r="D102" s="12">
        <v>0</v>
      </c>
      <c r="E102" s="12">
        <v>8.9108910891089105E-2</v>
      </c>
      <c r="F102" s="12">
        <v>0.40292736813035068</v>
      </c>
      <c r="G102" s="12">
        <v>0.33588621444201311</v>
      </c>
      <c r="H102" s="12">
        <v>0.35565819861431869</v>
      </c>
      <c r="I102" s="12">
        <v>0.29237199582027168</v>
      </c>
      <c r="J102" s="13">
        <v>0.35239599999999999</v>
      </c>
      <c r="L102" s="7" t="s">
        <v>98</v>
      </c>
      <c r="M102" s="11">
        <f t="shared" si="9"/>
        <v>4.4732348800560318E-2</v>
      </c>
      <c r="N102" s="11">
        <f t="shared" si="10"/>
        <v>7.463685335613035E-4</v>
      </c>
      <c r="O102" s="11">
        <f t="shared" si="11"/>
        <v>-0.35239599999999999</v>
      </c>
      <c r="P102" s="11">
        <f t="shared" si="12"/>
        <v>-0.26328708910891085</v>
      </c>
      <c r="Q102" s="11">
        <f t="shared" si="13"/>
        <v>5.0531368130350696E-2</v>
      </c>
      <c r="R102" s="11">
        <f t="shared" si="14"/>
        <v>-1.6509785557986878E-2</v>
      </c>
      <c r="S102" s="11">
        <f t="shared" si="15"/>
        <v>3.262198614318701E-3</v>
      </c>
      <c r="T102" s="11">
        <f t="shared" si="16"/>
        <v>-6.0024004179728307E-2</v>
      </c>
      <c r="V102" s="3">
        <v>99</v>
      </c>
      <c r="W102" s="4" t="s">
        <v>98</v>
      </c>
      <c r="X102" s="5">
        <v>0.35239599999999999</v>
      </c>
      <c r="Y102" s="5">
        <v>0.47772900000000001</v>
      </c>
      <c r="AA102" s="7" t="s">
        <v>69</v>
      </c>
      <c r="AB102" s="15">
        <v>5.725792330590089E-2</v>
      </c>
      <c r="AC102" s="15">
        <v>-2.6822076694099112E-2</v>
      </c>
      <c r="AD102" s="15">
        <v>-9.6650907857590077E-2</v>
      </c>
      <c r="AF102" s="7" t="s">
        <v>49</v>
      </c>
      <c r="AG102" s="15">
        <v>0.30226592560923471</v>
      </c>
      <c r="AH102" s="15">
        <v>-5.5288074390765274E-2</v>
      </c>
      <c r="AI102" s="15">
        <v>-0.1153536349256096</v>
      </c>
      <c r="AK102" s="7" t="s">
        <v>5</v>
      </c>
      <c r="AL102" s="15">
        <v>0.10526315789473679</v>
      </c>
      <c r="AM102" s="15">
        <v>-7.1911842105263205E-2</v>
      </c>
      <c r="AN102" s="15">
        <v>-0.18833668242933485</v>
      </c>
      <c r="AP102" s="7" t="s">
        <v>61</v>
      </c>
      <c r="AQ102" s="15">
        <v>4.9504950495049507E-2</v>
      </c>
      <c r="AR102" s="15">
        <v>-5.9865049504950488E-2</v>
      </c>
      <c r="AS102" s="15">
        <v>-0.19180753421854629</v>
      </c>
      <c r="AU102" s="7" t="s">
        <v>114</v>
      </c>
      <c r="AV102" s="15">
        <v>0</v>
      </c>
      <c r="AW102" s="15">
        <v>-1.4371999999999999E-2</v>
      </c>
      <c r="AX102" s="15">
        <v>-0.12074977105265368</v>
      </c>
      <c r="AZ102" s="7" t="s">
        <v>48</v>
      </c>
      <c r="BA102" s="15">
        <v>0</v>
      </c>
      <c r="BB102" s="15">
        <v>-2.4688000000000002E-2</v>
      </c>
      <c r="BC102" s="15">
        <v>-0.15909574228139481</v>
      </c>
      <c r="BE102" s="7" t="s">
        <v>60</v>
      </c>
      <c r="BF102" s="15">
        <v>0.45265588914549648</v>
      </c>
      <c r="BG102" s="15">
        <v>-4.7970110854503534E-2</v>
      </c>
      <c r="BH102" s="15">
        <v>-9.5937919198946287E-2</v>
      </c>
      <c r="BJ102" s="7" t="s">
        <v>114</v>
      </c>
      <c r="BK102" s="15">
        <v>0</v>
      </c>
      <c r="BL102" s="15">
        <v>-1.4371999999999999E-2</v>
      </c>
      <c r="BM102" s="15">
        <v>-0.12074977105265368</v>
      </c>
    </row>
    <row r="103" spans="1:65" x14ac:dyDescent="0.2">
      <c r="A103" s="10" t="s">
        <v>99</v>
      </c>
      <c r="B103" s="12">
        <v>0.4405533181579408</v>
      </c>
      <c r="C103" s="12">
        <v>0.44121419410004281</v>
      </c>
      <c r="D103" s="12">
        <v>0</v>
      </c>
      <c r="E103" s="12">
        <v>0.6633663366336634</v>
      </c>
      <c r="F103" s="12">
        <v>0.38552885943109638</v>
      </c>
      <c r="G103" s="12">
        <v>0.46006564551422319</v>
      </c>
      <c r="H103" s="12">
        <v>0.46651270207852191</v>
      </c>
      <c r="I103" s="12">
        <v>0.57032392894461859</v>
      </c>
      <c r="J103" s="13">
        <v>0.460063</v>
      </c>
      <c r="L103" s="7" t="s">
        <v>99</v>
      </c>
      <c r="M103" s="11">
        <f t="shared" si="9"/>
        <v>-1.9509681842059201E-2</v>
      </c>
      <c r="N103" s="11">
        <f t="shared" si="10"/>
        <v>-1.8848805899957188E-2</v>
      </c>
      <c r="O103" s="11">
        <f t="shared" si="11"/>
        <v>-0.460063</v>
      </c>
      <c r="P103" s="11">
        <f t="shared" si="12"/>
        <v>0.2033033366336634</v>
      </c>
      <c r="Q103" s="11">
        <f t="shared" si="13"/>
        <v>-7.4534140568903617E-2</v>
      </c>
      <c r="R103" s="11">
        <f t="shared" si="14"/>
        <v>2.6455142231873729E-6</v>
      </c>
      <c r="S103" s="11">
        <f t="shared" si="15"/>
        <v>6.4497020785219128E-3</v>
      </c>
      <c r="T103" s="11">
        <f t="shared" si="16"/>
        <v>0.11026092894461859</v>
      </c>
      <c r="V103" s="3">
        <v>100</v>
      </c>
      <c r="W103" s="4" t="s">
        <v>99</v>
      </c>
      <c r="X103" s="5">
        <v>0.460063</v>
      </c>
      <c r="Y103" s="5">
        <v>0.498415</v>
      </c>
      <c r="AA103" s="7" t="s">
        <v>72</v>
      </c>
      <c r="AB103" s="15">
        <v>2.9537734197163368</v>
      </c>
      <c r="AC103" s="15">
        <v>-0.17137058028366337</v>
      </c>
      <c r="AD103" s="15">
        <v>-0.10000810022815762</v>
      </c>
      <c r="AF103" s="7" t="s">
        <v>72</v>
      </c>
      <c r="AG103" s="15">
        <v>2.925609234715691</v>
      </c>
      <c r="AH103" s="15">
        <v>-0.19953476528430913</v>
      </c>
      <c r="AI103" s="15">
        <v>-0.11644409893765993</v>
      </c>
      <c r="AK103" s="7" t="s">
        <v>4</v>
      </c>
      <c r="AL103" s="15">
        <v>8.771929824561403E-2</v>
      </c>
      <c r="AM103" s="15">
        <v>-7.1176701754385979E-2</v>
      </c>
      <c r="AN103" s="15">
        <v>-0.19469049056286153</v>
      </c>
      <c r="AP103" s="7" t="s">
        <v>53</v>
      </c>
      <c r="AQ103" s="15">
        <v>0</v>
      </c>
      <c r="AR103" s="15">
        <v>-3.7358000000000002E-2</v>
      </c>
      <c r="AS103" s="15">
        <v>-0.19699222746016179</v>
      </c>
      <c r="AU103" s="7" t="s">
        <v>90</v>
      </c>
      <c r="AV103" s="15">
        <v>0.204087268710301</v>
      </c>
      <c r="AW103" s="15">
        <v>-5.711773128969902E-2</v>
      </c>
      <c r="AX103" s="15">
        <v>-0.13001928352181191</v>
      </c>
      <c r="AZ103" s="7" t="s">
        <v>29</v>
      </c>
      <c r="BA103" s="15">
        <v>0.2724288840262582</v>
      </c>
      <c r="BB103" s="15">
        <v>-7.5861115973741788E-2</v>
      </c>
      <c r="BC103" s="15">
        <v>-0.15922490969217906</v>
      </c>
      <c r="BE103" s="7" t="s">
        <v>102</v>
      </c>
      <c r="BF103" s="15">
        <v>7.6982294072363352E-4</v>
      </c>
      <c r="BG103" s="15">
        <v>-1.3602177059276365E-2</v>
      </c>
      <c r="BH103" s="15">
        <v>-0.11428192079914272</v>
      </c>
      <c r="BJ103" s="7" t="s">
        <v>49</v>
      </c>
      <c r="BK103" s="15">
        <v>0.29780564263322878</v>
      </c>
      <c r="BL103" s="15">
        <v>-5.9748357366771199E-2</v>
      </c>
      <c r="BM103" s="15">
        <v>-0.12465961744984519</v>
      </c>
    </row>
    <row r="104" spans="1:65" x14ac:dyDescent="0.2">
      <c r="A104" s="10" t="s">
        <v>100</v>
      </c>
      <c r="B104" s="12">
        <v>4.7102083698126421E-2</v>
      </c>
      <c r="C104" s="12">
        <v>8.2086361693031212E-2</v>
      </c>
      <c r="D104" s="12">
        <v>0</v>
      </c>
      <c r="E104" s="12">
        <v>0.20792079207920791</v>
      </c>
      <c r="F104" s="12">
        <v>7.3184203258768302E-2</v>
      </c>
      <c r="G104" s="12">
        <v>0.1028446389496718</v>
      </c>
      <c r="H104" s="12">
        <v>8.9299461123941493E-2</v>
      </c>
      <c r="I104" s="12">
        <v>4.4305120167189127E-2</v>
      </c>
      <c r="J104" s="13">
        <v>6.3247999999999999E-2</v>
      </c>
      <c r="L104" s="7" t="s">
        <v>100</v>
      </c>
      <c r="M104" s="11">
        <f t="shared" si="9"/>
        <v>-1.6145916301873578E-2</v>
      </c>
      <c r="N104" s="11">
        <f t="shared" si="10"/>
        <v>1.8838361693031214E-2</v>
      </c>
      <c r="O104" s="11">
        <f t="shared" si="11"/>
        <v>-6.3247999999999999E-2</v>
      </c>
      <c r="P104" s="11">
        <f t="shared" si="12"/>
        <v>0.14467279207920791</v>
      </c>
      <c r="Q104" s="11">
        <f t="shared" si="13"/>
        <v>9.936203258768303E-3</v>
      </c>
      <c r="R104" s="11">
        <f t="shared" si="14"/>
        <v>3.9596638949671803E-2</v>
      </c>
      <c r="S104" s="11">
        <f t="shared" si="15"/>
        <v>2.6051461123941494E-2</v>
      </c>
      <c r="T104" s="11">
        <f t="shared" si="16"/>
        <v>-1.8942879832810872E-2</v>
      </c>
      <c r="V104" s="3">
        <v>101</v>
      </c>
      <c r="W104" s="4" t="s">
        <v>100</v>
      </c>
      <c r="X104" s="5">
        <v>6.3247999999999999E-2</v>
      </c>
      <c r="Y104" s="5">
        <v>0.24341499999999999</v>
      </c>
      <c r="AA104" s="7" t="s">
        <v>53</v>
      </c>
      <c r="AB104" s="15">
        <v>1.786026965505165E-2</v>
      </c>
      <c r="AC104" s="15">
        <v>-1.9497730344948352E-2</v>
      </c>
      <c r="AD104" s="15">
        <v>-0.10281335540095735</v>
      </c>
      <c r="AF104" s="7" t="s">
        <v>102</v>
      </c>
      <c r="AG104" s="15">
        <v>0</v>
      </c>
      <c r="AH104" s="15">
        <v>-1.4371999999999999E-2</v>
      </c>
      <c r="AI104" s="15">
        <v>-0.12074977105265368</v>
      </c>
      <c r="AK104" s="7" t="s">
        <v>85</v>
      </c>
      <c r="AL104" s="15">
        <v>0</v>
      </c>
      <c r="AM104" s="15">
        <v>-4.0462999999999999E-2</v>
      </c>
      <c r="AN104" s="15">
        <v>-0.20534694768253259</v>
      </c>
      <c r="AP104" s="7" t="s">
        <v>97</v>
      </c>
      <c r="AQ104" s="15">
        <v>2.9702970297029702E-2</v>
      </c>
      <c r="AR104" s="15">
        <v>-7.3357029702970297E-2</v>
      </c>
      <c r="AS104" s="15">
        <v>-0.24127030440550015</v>
      </c>
      <c r="AU104" s="7" t="s">
        <v>51</v>
      </c>
      <c r="AV104" s="15">
        <v>0.12869373101353221</v>
      </c>
      <c r="AW104" s="15">
        <v>-5.078426898646779E-2</v>
      </c>
      <c r="AX104" s="15">
        <v>-0.13233271920218206</v>
      </c>
      <c r="AZ104" s="7" t="s">
        <v>58</v>
      </c>
      <c r="BA104" s="15">
        <v>0</v>
      </c>
      <c r="BB104" s="15">
        <v>-2.8393999999999999E-2</v>
      </c>
      <c r="BC104" s="15">
        <v>-0.17094521372667068</v>
      </c>
      <c r="BE104" s="7" t="s">
        <v>114</v>
      </c>
      <c r="BF104" s="15">
        <v>7.6982294072363352E-4</v>
      </c>
      <c r="BG104" s="15">
        <v>-1.3602177059276365E-2</v>
      </c>
      <c r="BH104" s="15">
        <v>-0.11428192079914272</v>
      </c>
      <c r="BJ104" s="7" t="s">
        <v>98</v>
      </c>
      <c r="BK104" s="15">
        <v>0.29237199582027168</v>
      </c>
      <c r="BL104" s="15">
        <v>-6.0024004179728307E-2</v>
      </c>
      <c r="BM104" s="15">
        <v>-0.12564446407843841</v>
      </c>
    </row>
    <row r="105" spans="1:65" x14ac:dyDescent="0.2">
      <c r="A105" s="10" t="s">
        <v>101</v>
      </c>
      <c r="B105" s="12">
        <v>7.7044300472771847E-3</v>
      </c>
      <c r="C105" s="12">
        <v>5.9854638734501923E-3</v>
      </c>
      <c r="D105" s="12">
        <v>0</v>
      </c>
      <c r="E105" s="12">
        <v>0</v>
      </c>
      <c r="F105" s="12">
        <v>1.380834023750345E-2</v>
      </c>
      <c r="G105" s="12">
        <v>2.1881838074398249E-3</v>
      </c>
      <c r="H105" s="12">
        <v>3.0792917628945341E-3</v>
      </c>
      <c r="I105" s="12">
        <v>4.3887147335423199E-3</v>
      </c>
      <c r="J105" s="13">
        <v>6.8609999999999999E-3</v>
      </c>
      <c r="L105" s="7" t="s">
        <v>101</v>
      </c>
      <c r="M105" s="11">
        <f t="shared" si="9"/>
        <v>8.4343004727718482E-4</v>
      </c>
      <c r="N105" s="11">
        <f t="shared" si="10"/>
        <v>-8.7553612654980763E-4</v>
      </c>
      <c r="O105" s="11">
        <f t="shared" si="11"/>
        <v>-6.8609999999999999E-3</v>
      </c>
      <c r="P105" s="11">
        <f t="shared" si="12"/>
        <v>-6.8609999999999999E-3</v>
      </c>
      <c r="Q105" s="11">
        <f t="shared" si="13"/>
        <v>6.9473402375034498E-3</v>
      </c>
      <c r="R105" s="11">
        <f t="shared" si="14"/>
        <v>-4.672816192560175E-3</v>
      </c>
      <c r="S105" s="11">
        <f t="shared" si="15"/>
        <v>-3.7817082371054658E-3</v>
      </c>
      <c r="T105" s="11">
        <f t="shared" si="16"/>
        <v>-2.47228526645768E-3</v>
      </c>
      <c r="V105" s="3">
        <v>102</v>
      </c>
      <c r="W105" s="4" t="s">
        <v>101</v>
      </c>
      <c r="X105" s="5">
        <v>6.8609999999999999E-3</v>
      </c>
      <c r="Y105" s="5">
        <v>8.2545999999999994E-2</v>
      </c>
      <c r="AA105" s="7" t="s">
        <v>55</v>
      </c>
      <c r="AB105" s="15">
        <v>1.068114165645246E-2</v>
      </c>
      <c r="AC105" s="15">
        <v>-1.706185834354754E-2</v>
      </c>
      <c r="AD105" s="15">
        <v>-0.10388369668501912</v>
      </c>
      <c r="AF105" s="7" t="s">
        <v>114</v>
      </c>
      <c r="AG105" s="15">
        <v>0</v>
      </c>
      <c r="AH105" s="15">
        <v>-1.4371999999999999E-2</v>
      </c>
      <c r="AI105" s="15">
        <v>-0.12074977105265368</v>
      </c>
      <c r="AK105" s="7" t="s">
        <v>12</v>
      </c>
      <c r="AL105" s="15">
        <v>0.31578947368421051</v>
      </c>
      <c r="AM105" s="15">
        <v>-0.10456252631578949</v>
      </c>
      <c r="AN105" s="15">
        <v>-0.21182454462832231</v>
      </c>
      <c r="AP105" s="7" t="s">
        <v>91</v>
      </c>
      <c r="AQ105" s="15">
        <v>3.9603960396039598E-2</v>
      </c>
      <c r="AR105" s="15">
        <v>-9.4704039603960413E-2</v>
      </c>
      <c r="AS105" s="15">
        <v>-0.27773097199922697</v>
      </c>
      <c r="AU105" s="7" t="s">
        <v>95</v>
      </c>
      <c r="AV105" s="15">
        <v>0.40154653410660041</v>
      </c>
      <c r="AW105" s="15">
        <v>-7.3439465893399614E-2</v>
      </c>
      <c r="AX105" s="15">
        <v>-0.14705952087843796</v>
      </c>
      <c r="AZ105" s="7" t="s">
        <v>103</v>
      </c>
      <c r="BA105" s="15">
        <v>0</v>
      </c>
      <c r="BB105" s="15">
        <v>-2.8393999999999999E-2</v>
      </c>
      <c r="BC105" s="15">
        <v>-0.17094521372667068</v>
      </c>
      <c r="BE105" s="7" t="s">
        <v>63</v>
      </c>
      <c r="BF105" s="15">
        <v>7.6212471131639717E-2</v>
      </c>
      <c r="BG105" s="15">
        <v>-3.6311528868360282E-2</v>
      </c>
      <c r="BH105" s="15">
        <v>-0.11490335635425919</v>
      </c>
      <c r="BJ105" s="7" t="s">
        <v>94</v>
      </c>
      <c r="BK105" s="15">
        <v>0.193312434691745</v>
      </c>
      <c r="BL105" s="15">
        <v>-5.5072565308254995E-2</v>
      </c>
      <c r="BM105" s="15">
        <v>-0.12745712161730161</v>
      </c>
    </row>
    <row r="106" spans="1:65" x14ac:dyDescent="0.2">
      <c r="A106" s="10" t="s">
        <v>102</v>
      </c>
      <c r="B106" s="12">
        <v>0</v>
      </c>
      <c r="C106" s="12">
        <v>0</v>
      </c>
      <c r="D106" s="12">
        <v>1</v>
      </c>
      <c r="E106" s="12">
        <v>9.9009900990099011E-3</v>
      </c>
      <c r="F106" s="12">
        <v>0</v>
      </c>
      <c r="G106" s="12">
        <v>0</v>
      </c>
      <c r="H106" s="12">
        <v>7.6982294072363352E-4</v>
      </c>
      <c r="I106" s="12">
        <v>0</v>
      </c>
      <c r="J106" s="13">
        <v>1.4371999999999999E-2</v>
      </c>
      <c r="L106" s="7" t="s">
        <v>102</v>
      </c>
      <c r="M106" s="11">
        <f t="shared" si="9"/>
        <v>-1.4371999999999999E-2</v>
      </c>
      <c r="N106" s="11">
        <f t="shared" si="10"/>
        <v>-1.4371999999999999E-2</v>
      </c>
      <c r="O106" s="11">
        <f t="shared" si="11"/>
        <v>0.98562799999999995</v>
      </c>
      <c r="P106" s="11">
        <f t="shared" si="12"/>
        <v>-4.4710099009900982E-3</v>
      </c>
      <c r="Q106" s="11">
        <f t="shared" si="13"/>
        <v>-1.4371999999999999E-2</v>
      </c>
      <c r="R106" s="11">
        <f t="shared" si="14"/>
        <v>-1.4371999999999999E-2</v>
      </c>
      <c r="S106" s="11">
        <f t="shared" si="15"/>
        <v>-1.3602177059276365E-2</v>
      </c>
      <c r="T106" s="11">
        <f t="shared" si="16"/>
        <v>-1.4371999999999999E-2</v>
      </c>
      <c r="V106" s="3">
        <v>103</v>
      </c>
      <c r="W106" s="4" t="s">
        <v>102</v>
      </c>
      <c r="X106" s="5">
        <v>1.4371999999999999E-2</v>
      </c>
      <c r="Y106" s="5">
        <v>0.119023</v>
      </c>
      <c r="AA106" s="7" t="s">
        <v>58</v>
      </c>
      <c r="AB106" s="15">
        <v>1.068114165645246E-2</v>
      </c>
      <c r="AC106" s="15">
        <v>-1.7712858343547539E-2</v>
      </c>
      <c r="AD106" s="15">
        <v>-0.10663972512671607</v>
      </c>
      <c r="AF106" s="7" t="s">
        <v>46</v>
      </c>
      <c r="AG106" s="15">
        <v>9.1064557503206495E-2</v>
      </c>
      <c r="AH106" s="15">
        <v>-4.2742442496793515E-2</v>
      </c>
      <c r="AI106" s="15">
        <v>-0.12554542609807351</v>
      </c>
      <c r="AK106" s="7" t="s">
        <v>87</v>
      </c>
      <c r="AL106" s="15">
        <v>0</v>
      </c>
      <c r="AM106" s="15">
        <v>-6.1094999999999997E-2</v>
      </c>
      <c r="AN106" s="15">
        <v>-0.255083295060749</v>
      </c>
      <c r="AP106" s="7" t="s">
        <v>75</v>
      </c>
      <c r="AQ106" s="15">
        <v>1.9801980198019799E-2</v>
      </c>
      <c r="AR106" s="15">
        <v>-8.6513019801980201E-2</v>
      </c>
      <c r="AS106" s="15">
        <v>-0.28066044159890802</v>
      </c>
      <c r="AU106" s="7" t="s">
        <v>99</v>
      </c>
      <c r="AV106" s="15">
        <v>0.38552885943109638</v>
      </c>
      <c r="AW106" s="15">
        <v>-7.4534140568903617E-2</v>
      </c>
      <c r="AX106" s="15">
        <v>-0.1495423303249373</v>
      </c>
      <c r="AZ106" s="7" t="s">
        <v>43</v>
      </c>
      <c r="BA106" s="15">
        <v>0</v>
      </c>
      <c r="BB106" s="15">
        <v>-3.0147E-2</v>
      </c>
      <c r="BC106" s="15">
        <v>-0.17630340068423053</v>
      </c>
      <c r="BE106" s="7" t="s">
        <v>41</v>
      </c>
      <c r="BF106" s="15">
        <v>0.10469591993841421</v>
      </c>
      <c r="BG106" s="15">
        <v>-4.1681080061585801E-2</v>
      </c>
      <c r="BH106" s="15">
        <v>-0.1179120380363566</v>
      </c>
      <c r="BJ106" s="7" t="s">
        <v>45</v>
      </c>
      <c r="BK106" s="15">
        <v>7.9414838035527693E-2</v>
      </c>
      <c r="BL106" s="15">
        <v>-4.7331161964472304E-2</v>
      </c>
      <c r="BM106" s="15">
        <v>-0.14226506991187868</v>
      </c>
    </row>
    <row r="107" spans="1:65" x14ac:dyDescent="0.2">
      <c r="A107" s="10" t="s">
        <v>103</v>
      </c>
      <c r="B107" s="12">
        <v>1.068114165645246E-2</v>
      </c>
      <c r="C107" s="12">
        <v>2.7362120564343739E-2</v>
      </c>
      <c r="D107" s="12">
        <v>3.1578947368421047E-2</v>
      </c>
      <c r="E107" s="12">
        <v>0</v>
      </c>
      <c r="F107" s="12">
        <v>2.2093344380005519E-3</v>
      </c>
      <c r="G107" s="12">
        <v>0</v>
      </c>
      <c r="H107" s="12">
        <v>0.32563510392609701</v>
      </c>
      <c r="I107" s="12">
        <v>4.1797283176593522E-4</v>
      </c>
      <c r="J107" s="13">
        <v>2.8393999999999999E-2</v>
      </c>
      <c r="L107" s="7" t="s">
        <v>103</v>
      </c>
      <c r="M107" s="11">
        <f t="shared" si="9"/>
        <v>-1.7712858343547539E-2</v>
      </c>
      <c r="N107" s="11">
        <f t="shared" si="10"/>
        <v>-1.0318794356562605E-3</v>
      </c>
      <c r="O107" s="11">
        <f t="shared" si="11"/>
        <v>3.1849473684210476E-3</v>
      </c>
      <c r="P107" s="11">
        <f t="shared" si="12"/>
        <v>-2.8393999999999999E-2</v>
      </c>
      <c r="Q107" s="11">
        <f t="shared" si="13"/>
        <v>-2.6184665561999446E-2</v>
      </c>
      <c r="R107" s="11">
        <f t="shared" si="14"/>
        <v>-2.8393999999999999E-2</v>
      </c>
      <c r="S107" s="11">
        <f t="shared" si="15"/>
        <v>0.29724110392609704</v>
      </c>
      <c r="T107" s="11">
        <f t="shared" si="16"/>
        <v>-2.7976027168234063E-2</v>
      </c>
      <c r="V107" s="3">
        <v>104</v>
      </c>
      <c r="W107" s="4" t="s">
        <v>103</v>
      </c>
      <c r="X107" s="5">
        <v>2.8393999999999999E-2</v>
      </c>
      <c r="Y107" s="5">
        <v>0.1661</v>
      </c>
      <c r="AA107" s="7" t="s">
        <v>103</v>
      </c>
      <c r="AB107" s="15">
        <v>1.068114165645246E-2</v>
      </c>
      <c r="AC107" s="15">
        <v>-1.7712858343547539E-2</v>
      </c>
      <c r="AD107" s="15">
        <v>-0.10663972512671607</v>
      </c>
      <c r="AF107" s="7" t="s">
        <v>9</v>
      </c>
      <c r="AG107" s="15">
        <v>0.43565626336041041</v>
      </c>
      <c r="AH107" s="15">
        <v>-6.4969736639589604E-2</v>
      </c>
      <c r="AI107" s="15">
        <v>-0.12993635480666385</v>
      </c>
      <c r="AK107" s="7" t="s">
        <v>100</v>
      </c>
      <c r="AL107" s="15">
        <v>0</v>
      </c>
      <c r="AM107" s="15">
        <v>-6.3247999999999999E-2</v>
      </c>
      <c r="AN107" s="15">
        <v>-0.25983608241069778</v>
      </c>
      <c r="AP107" s="7" t="s">
        <v>52</v>
      </c>
      <c r="AQ107" s="15">
        <v>0</v>
      </c>
      <c r="AR107" s="15">
        <v>-7.5367000000000003E-2</v>
      </c>
      <c r="AS107" s="15">
        <v>-0.28549295614590003</v>
      </c>
      <c r="AU107" s="7" t="s">
        <v>52</v>
      </c>
      <c r="AV107" s="15">
        <v>3.3968516984258491E-2</v>
      </c>
      <c r="AW107" s="15">
        <v>-4.1398483015741512E-2</v>
      </c>
      <c r="AX107" s="15">
        <v>-0.15681896978942877</v>
      </c>
      <c r="AZ107" s="7" t="s">
        <v>95</v>
      </c>
      <c r="BA107" s="15">
        <v>0.38566739606126921</v>
      </c>
      <c r="BB107" s="15">
        <v>-8.9318603938730812E-2</v>
      </c>
      <c r="BC107" s="15">
        <v>-0.17885684408199432</v>
      </c>
      <c r="BE107" s="7" t="s">
        <v>31</v>
      </c>
      <c r="BF107" s="15">
        <v>8.0831408775981523E-2</v>
      </c>
      <c r="BG107" s="15">
        <v>-3.9505591224018477E-2</v>
      </c>
      <c r="BH107" s="15">
        <v>-0.12142004845055669</v>
      </c>
      <c r="BJ107" s="7" t="s">
        <v>58</v>
      </c>
      <c r="BK107" s="15">
        <v>4.1797283176593522E-4</v>
      </c>
      <c r="BL107" s="15">
        <v>-2.7976027168234063E-2</v>
      </c>
      <c r="BM107" s="15">
        <v>-0.16842882100080711</v>
      </c>
    </row>
    <row r="108" spans="1:65" x14ac:dyDescent="0.2">
      <c r="A108" s="10" t="s">
        <v>104</v>
      </c>
      <c r="B108" s="12">
        <v>3.6720364209420799E-2</v>
      </c>
      <c r="C108" s="12">
        <v>1.7392047883711129E-2</v>
      </c>
      <c r="D108" s="12">
        <v>3.0771929824561329E-2</v>
      </c>
      <c r="E108" s="12">
        <v>1.643564356435645E-2</v>
      </c>
      <c r="F108" s="12">
        <v>1.677437172051939E-2</v>
      </c>
      <c r="G108" s="12">
        <v>4.1925601750547097E-2</v>
      </c>
      <c r="H108" s="12">
        <v>9.9522709776751025E-2</v>
      </c>
      <c r="I108" s="12">
        <v>1.3897596656217599E-2</v>
      </c>
      <c r="J108" s="13">
        <v>2.9745000000000001E-2</v>
      </c>
      <c r="L108" s="7" t="s">
        <v>104</v>
      </c>
      <c r="M108" s="11">
        <f t="shared" si="9"/>
        <v>6.9753642094207979E-3</v>
      </c>
      <c r="N108" s="11">
        <f t="shared" si="10"/>
        <v>-1.2352952116288871E-2</v>
      </c>
      <c r="O108" s="11">
        <f t="shared" si="11"/>
        <v>1.0269298245613283E-3</v>
      </c>
      <c r="P108" s="11">
        <f t="shared" si="12"/>
        <v>-1.330935643564355E-2</v>
      </c>
      <c r="Q108" s="11">
        <f t="shared" si="13"/>
        <v>-1.297062827948061E-2</v>
      </c>
      <c r="R108" s="11">
        <f t="shared" si="14"/>
        <v>1.2180601750547096E-2</v>
      </c>
      <c r="S108" s="11">
        <f t="shared" si="15"/>
        <v>6.9777709776751018E-2</v>
      </c>
      <c r="T108" s="11">
        <f t="shared" si="16"/>
        <v>-1.5847403343782401E-2</v>
      </c>
      <c r="V108" s="3">
        <v>105</v>
      </c>
      <c r="W108" s="4" t="s">
        <v>104</v>
      </c>
      <c r="X108" s="5">
        <v>2.9745000000000001E-2</v>
      </c>
      <c r="Y108" s="5">
        <v>2.8551E-2</v>
      </c>
      <c r="AA108" s="7" t="s">
        <v>50</v>
      </c>
      <c r="AB108" s="15">
        <v>0.33023988793556303</v>
      </c>
      <c r="AC108" s="15">
        <v>-5.6560112064436951E-2</v>
      </c>
      <c r="AD108" s="15">
        <v>-0.11613294498774601</v>
      </c>
      <c r="AF108" s="7" t="s">
        <v>60</v>
      </c>
      <c r="AG108" s="15">
        <v>0.43565626336041041</v>
      </c>
      <c r="AH108" s="15">
        <v>-6.4969736639589604E-2</v>
      </c>
      <c r="AI108" s="15">
        <v>-0.12993635480666385</v>
      </c>
      <c r="AK108" s="7" t="s">
        <v>97</v>
      </c>
      <c r="AL108" s="15">
        <v>0</v>
      </c>
      <c r="AM108" s="15">
        <v>-0.10306</v>
      </c>
      <c r="AN108" s="15">
        <v>-0.33896298245325523</v>
      </c>
      <c r="AP108" s="7" t="s">
        <v>63</v>
      </c>
      <c r="AQ108" s="15">
        <v>9.9009900990099011E-3</v>
      </c>
      <c r="AR108" s="15">
        <v>-0.1026230099009901</v>
      </c>
      <c r="AS108" s="15">
        <v>-0.32473786271981375</v>
      </c>
      <c r="AU108" s="7" t="s">
        <v>58</v>
      </c>
      <c r="AV108" s="15">
        <v>2.2093344380005519E-3</v>
      </c>
      <c r="AW108" s="15">
        <v>-2.6184665561999446E-2</v>
      </c>
      <c r="AX108" s="15">
        <v>-0.15764398291390394</v>
      </c>
      <c r="AZ108" s="7" t="s">
        <v>62</v>
      </c>
      <c r="BA108" s="15">
        <v>4.8687089715536112E-2</v>
      </c>
      <c r="BB108" s="15">
        <v>-5.4772910284463884E-2</v>
      </c>
      <c r="BC108" s="15">
        <v>-0.17983862429108829</v>
      </c>
      <c r="BE108" s="7" t="s">
        <v>53</v>
      </c>
      <c r="BF108" s="15">
        <v>1.3086989992301771E-2</v>
      </c>
      <c r="BG108" s="15">
        <v>-2.4271010007698234E-2</v>
      </c>
      <c r="BH108" s="15">
        <v>-0.12798330542653122</v>
      </c>
      <c r="BJ108" s="7" t="s">
        <v>103</v>
      </c>
      <c r="BK108" s="15">
        <v>4.1797283176593522E-4</v>
      </c>
      <c r="BL108" s="15">
        <v>-2.7976027168234063E-2</v>
      </c>
      <c r="BM108" s="15">
        <v>-0.16842882100080711</v>
      </c>
    </row>
    <row r="109" spans="1:65" x14ac:dyDescent="0.2">
      <c r="A109" s="10" t="s">
        <v>105</v>
      </c>
      <c r="B109" s="12">
        <v>0.42229732095955441</v>
      </c>
      <c r="C109" s="12">
        <v>0.34720393330482863</v>
      </c>
      <c r="D109" s="12">
        <v>0.34610526315789469</v>
      </c>
      <c r="E109" s="12">
        <v>0.26970297029702978</v>
      </c>
      <c r="F109" s="12">
        <v>0.2227644297155478</v>
      </c>
      <c r="G109" s="12">
        <v>0.28532822757111342</v>
      </c>
      <c r="H109" s="12">
        <v>0.75716705157813791</v>
      </c>
      <c r="I109" s="12">
        <v>0.20080250783699241</v>
      </c>
      <c r="J109" s="13">
        <v>0.33163100000000001</v>
      </c>
      <c r="L109" s="7" t="s">
        <v>105</v>
      </c>
      <c r="M109" s="11">
        <f t="shared" si="9"/>
        <v>9.0666320959554403E-2</v>
      </c>
      <c r="N109" s="11">
        <f t="shared" si="10"/>
        <v>1.5572933304828618E-2</v>
      </c>
      <c r="O109" s="11">
        <f t="shared" si="11"/>
        <v>1.4474263157894685E-2</v>
      </c>
      <c r="P109" s="11">
        <f t="shared" si="12"/>
        <v>-6.1928029702970233E-2</v>
      </c>
      <c r="Q109" s="11">
        <f t="shared" si="13"/>
        <v>-0.10886657028445221</v>
      </c>
      <c r="R109" s="11">
        <f t="shared" si="14"/>
        <v>-4.6302772428886585E-2</v>
      </c>
      <c r="S109" s="11">
        <f t="shared" si="15"/>
        <v>0.4255360515781379</v>
      </c>
      <c r="T109" s="11">
        <f t="shared" si="16"/>
        <v>-0.1308284921630076</v>
      </c>
      <c r="V109" s="3">
        <v>106</v>
      </c>
      <c r="W109" s="4" t="s">
        <v>105</v>
      </c>
      <c r="X109" s="5">
        <v>0.33163100000000001</v>
      </c>
      <c r="Y109" s="5">
        <v>0.188392</v>
      </c>
      <c r="AA109" s="7" t="s">
        <v>108</v>
      </c>
      <c r="AB109" s="15">
        <v>3.7121344773244608E-2</v>
      </c>
      <c r="AC109" s="15">
        <v>-2.9181655226755393E-2</v>
      </c>
      <c r="AD109" s="15">
        <v>-0.11728159742604159</v>
      </c>
      <c r="AF109" s="7" t="s">
        <v>59</v>
      </c>
      <c r="AG109" s="15">
        <v>0.2428388200085507</v>
      </c>
      <c r="AH109" s="15">
        <v>-5.9780179991449328E-2</v>
      </c>
      <c r="AI109" s="15">
        <v>-0.13012579367450655</v>
      </c>
      <c r="AK109" s="7" t="s">
        <v>86</v>
      </c>
      <c r="AL109" s="15">
        <v>0</v>
      </c>
      <c r="AM109" s="15">
        <v>-0.113626</v>
      </c>
      <c r="AN109" s="15">
        <v>-0.35802939832684766</v>
      </c>
      <c r="AP109" s="7" t="s">
        <v>86</v>
      </c>
      <c r="AQ109" s="15">
        <v>9.9009900990099011E-3</v>
      </c>
      <c r="AR109" s="15">
        <v>-0.10372500990099011</v>
      </c>
      <c r="AS109" s="15">
        <v>-0.32683191246983789</v>
      </c>
      <c r="AU109" s="7" t="s">
        <v>103</v>
      </c>
      <c r="AV109" s="15">
        <v>2.2093344380005519E-3</v>
      </c>
      <c r="AW109" s="15">
        <v>-2.6184665561999446E-2</v>
      </c>
      <c r="AX109" s="15">
        <v>-0.15764398291390394</v>
      </c>
      <c r="AZ109" s="7" t="s">
        <v>61</v>
      </c>
      <c r="BA109" s="15">
        <v>5.2516411378555797E-2</v>
      </c>
      <c r="BB109" s="15">
        <v>-5.6853588621444198E-2</v>
      </c>
      <c r="BC109" s="15">
        <v>-0.18215881779322737</v>
      </c>
      <c r="BE109" s="7" t="s">
        <v>48</v>
      </c>
      <c r="BF109" s="15">
        <v>0</v>
      </c>
      <c r="BG109" s="15">
        <v>-2.4688000000000002E-2</v>
      </c>
      <c r="BH109" s="15">
        <v>-0.15909574228139481</v>
      </c>
      <c r="BJ109" s="7" t="s">
        <v>84</v>
      </c>
      <c r="BK109" s="15">
        <v>0</v>
      </c>
      <c r="BL109" s="15">
        <v>-3.9411000000000002E-2</v>
      </c>
      <c r="BM109" s="15">
        <v>-0.20254810459666148</v>
      </c>
    </row>
    <row r="110" spans="1:65" x14ac:dyDescent="0.2">
      <c r="A110" s="10" t="s">
        <v>106</v>
      </c>
      <c r="B110" s="12">
        <v>0.98113640343196551</v>
      </c>
      <c r="C110" s="12">
        <v>0.56978623343308898</v>
      </c>
      <c r="D110" s="12">
        <v>1.143859649122807</v>
      </c>
      <c r="E110" s="12">
        <v>0.54316831683168343</v>
      </c>
      <c r="F110" s="12">
        <v>0.66096658381662632</v>
      </c>
      <c r="G110" s="12">
        <v>2.3538566739606099</v>
      </c>
      <c r="H110" s="12">
        <v>2.8969745958429569</v>
      </c>
      <c r="I110" s="12">
        <v>0.643051201671894</v>
      </c>
      <c r="J110" s="13">
        <v>1.044281</v>
      </c>
      <c r="L110" s="7" t="s">
        <v>106</v>
      </c>
      <c r="M110" s="11">
        <f t="shared" si="9"/>
        <v>-6.3144596568034506E-2</v>
      </c>
      <c r="N110" s="11">
        <f t="shared" si="10"/>
        <v>-0.47449476656691103</v>
      </c>
      <c r="O110" s="11">
        <f t="shared" si="11"/>
        <v>9.9578649122807006E-2</v>
      </c>
      <c r="P110" s="11">
        <f t="shared" si="12"/>
        <v>-0.50111268316831659</v>
      </c>
      <c r="Q110" s="11">
        <f t="shared" si="13"/>
        <v>-0.3833144161833737</v>
      </c>
      <c r="R110" s="11">
        <f t="shared" si="14"/>
        <v>1.3095756739606099</v>
      </c>
      <c r="S110" s="11">
        <f t="shared" si="15"/>
        <v>1.8526935958429569</v>
      </c>
      <c r="T110" s="11">
        <f t="shared" si="16"/>
        <v>-0.40122979832810601</v>
      </c>
      <c r="V110" s="3">
        <v>107</v>
      </c>
      <c r="W110" s="4" t="s">
        <v>106</v>
      </c>
      <c r="X110" s="5">
        <v>1.044281</v>
      </c>
      <c r="Y110" s="5">
        <v>0.93687799999999999</v>
      </c>
      <c r="AA110" s="7" t="s">
        <v>102</v>
      </c>
      <c r="AB110" s="15">
        <v>0</v>
      </c>
      <c r="AC110" s="15">
        <v>-1.4371999999999999E-2</v>
      </c>
      <c r="AD110" s="15">
        <v>-0.12074977105265368</v>
      </c>
      <c r="AF110" s="7" t="s">
        <v>63</v>
      </c>
      <c r="AG110" s="15">
        <v>6.5840102607952117E-2</v>
      </c>
      <c r="AH110" s="15">
        <v>-4.6683897392047882E-2</v>
      </c>
      <c r="AI110" s="15">
        <v>-0.14772543776635469</v>
      </c>
      <c r="AK110" s="7" t="s">
        <v>91</v>
      </c>
      <c r="AL110" s="15">
        <v>0</v>
      </c>
      <c r="AM110" s="15">
        <v>-0.13430800000000001</v>
      </c>
      <c r="AN110" s="15">
        <v>-0.3938743430930931</v>
      </c>
      <c r="AP110" s="7" t="s">
        <v>105</v>
      </c>
      <c r="AQ110" s="15">
        <v>0.26970297029702978</v>
      </c>
      <c r="AR110" s="15">
        <v>-6.1928029702970233E-2</v>
      </c>
      <c r="AS110" s="15">
        <v>-0.32871899923017023</v>
      </c>
      <c r="AU110" s="7" t="s">
        <v>10</v>
      </c>
      <c r="AV110" s="15">
        <v>0.3791770229218448</v>
      </c>
      <c r="AW110" s="15">
        <v>-8.9398977078155195E-2</v>
      </c>
      <c r="AX110" s="15">
        <v>-0.1791476503698323</v>
      </c>
      <c r="AZ110" s="7" t="s">
        <v>47</v>
      </c>
      <c r="BA110" s="15">
        <v>2.352297592997812E-2</v>
      </c>
      <c r="BB110" s="15">
        <v>-4.8789024070021877E-2</v>
      </c>
      <c r="BC110" s="15">
        <v>-0.18836733743879339</v>
      </c>
      <c r="BE110" s="7" t="s">
        <v>47</v>
      </c>
      <c r="BF110" s="15">
        <v>3.079291762894534E-2</v>
      </c>
      <c r="BG110" s="15">
        <v>-4.1519082371054658E-2</v>
      </c>
      <c r="BH110" s="15">
        <v>-0.16029914818367882</v>
      </c>
      <c r="BJ110" s="7" t="s">
        <v>9</v>
      </c>
      <c r="BK110" s="15">
        <v>0.39749216300940438</v>
      </c>
      <c r="BL110" s="15">
        <v>-0.10313383699059564</v>
      </c>
      <c r="BM110" s="15">
        <v>-0.20626272367582305</v>
      </c>
    </row>
    <row r="111" spans="1:65" x14ac:dyDescent="0.2">
      <c r="A111" s="10" t="s">
        <v>107</v>
      </c>
      <c r="B111" s="12">
        <v>0.43267378742777102</v>
      </c>
      <c r="C111" s="12">
        <v>0.35656263360410428</v>
      </c>
      <c r="D111" s="12">
        <v>0.39649122807017539</v>
      </c>
      <c r="E111" s="12">
        <v>0.34653465346534651</v>
      </c>
      <c r="F111" s="12">
        <v>0.4484948909141121</v>
      </c>
      <c r="G111" s="12">
        <v>0.62417943107221008</v>
      </c>
      <c r="H111" s="12">
        <v>0.40723633564280209</v>
      </c>
      <c r="I111" s="12">
        <v>0.41713688610240329</v>
      </c>
      <c r="J111" s="13">
        <v>0.43782900000000002</v>
      </c>
      <c r="L111" s="7" t="s">
        <v>107</v>
      </c>
      <c r="M111" s="11">
        <f t="shared" si="9"/>
        <v>-5.1552125722290065E-3</v>
      </c>
      <c r="N111" s="11">
        <f t="shared" si="10"/>
        <v>-8.1266366395895739E-2</v>
      </c>
      <c r="O111" s="11">
        <f t="shared" si="11"/>
        <v>-4.1337771929824629E-2</v>
      </c>
      <c r="P111" s="11">
        <f t="shared" si="12"/>
        <v>-9.1294346534653514E-2</v>
      </c>
      <c r="Q111" s="11">
        <f t="shared" si="13"/>
        <v>1.0665890914112075E-2</v>
      </c>
      <c r="R111" s="11">
        <f t="shared" si="14"/>
        <v>0.18635043107221005</v>
      </c>
      <c r="S111" s="11">
        <f t="shared" si="15"/>
        <v>-3.059266435719793E-2</v>
      </c>
      <c r="T111" s="11">
        <f t="shared" si="16"/>
        <v>-2.0692113897596731E-2</v>
      </c>
      <c r="V111" s="3">
        <v>108</v>
      </c>
      <c r="W111" s="4" t="s">
        <v>107</v>
      </c>
      <c r="X111" s="5">
        <v>0.43782900000000002</v>
      </c>
      <c r="Y111" s="5">
        <v>0.49613200000000002</v>
      </c>
      <c r="AA111" s="7" t="s">
        <v>114</v>
      </c>
      <c r="AB111" s="15">
        <v>0</v>
      </c>
      <c r="AC111" s="15">
        <v>-1.4371999999999999E-2</v>
      </c>
      <c r="AD111" s="15">
        <v>-0.12074977105265368</v>
      </c>
      <c r="AF111" s="7" t="s">
        <v>107</v>
      </c>
      <c r="AG111" s="15">
        <v>0.35656263360410428</v>
      </c>
      <c r="AH111" s="15">
        <v>-8.1266366395895739E-2</v>
      </c>
      <c r="AI111" s="15">
        <v>-0.16379988873101461</v>
      </c>
      <c r="AK111" s="7" t="s">
        <v>94</v>
      </c>
      <c r="AL111" s="15">
        <v>0</v>
      </c>
      <c r="AM111" s="15">
        <v>-0.24838499999999999</v>
      </c>
      <c r="AN111" s="15">
        <v>-0.57484950947378655</v>
      </c>
      <c r="AP111" s="7" t="s">
        <v>44</v>
      </c>
      <c r="AQ111" s="15">
        <v>0.1089108910891089</v>
      </c>
      <c r="AR111" s="15">
        <v>-0.14673510891089109</v>
      </c>
      <c r="AS111" s="15">
        <v>-0.3363671161435719</v>
      </c>
      <c r="AU111" s="7" t="s">
        <v>77</v>
      </c>
      <c r="AV111" s="15">
        <v>4.8329190831262081E-2</v>
      </c>
      <c r="AW111" s="15">
        <v>-5.7484809168737924E-2</v>
      </c>
      <c r="AX111" s="15">
        <v>-0.18687744156907327</v>
      </c>
      <c r="AZ111" s="7" t="s">
        <v>9</v>
      </c>
      <c r="BA111" s="15">
        <v>0.38949671772428879</v>
      </c>
      <c r="BB111" s="15">
        <v>-0.11112928227571123</v>
      </c>
      <c r="BC111" s="15">
        <v>-0.22225323047389109</v>
      </c>
      <c r="BE111" s="7" t="s">
        <v>55</v>
      </c>
      <c r="BF111" s="15">
        <v>0</v>
      </c>
      <c r="BG111" s="15">
        <v>-2.7743E-2</v>
      </c>
      <c r="BH111" s="15">
        <v>-0.1689174378957623</v>
      </c>
      <c r="BJ111" s="7" t="s">
        <v>60</v>
      </c>
      <c r="BK111" s="15">
        <v>0.39749216300940438</v>
      </c>
      <c r="BL111" s="15">
        <v>-0.10313383699059564</v>
      </c>
      <c r="BM111" s="15">
        <v>-0.20626272367582305</v>
      </c>
    </row>
    <row r="112" spans="1:65" x14ac:dyDescent="0.2">
      <c r="A112" s="10" t="s">
        <v>108</v>
      </c>
      <c r="B112" s="12">
        <v>3.7121344773244608E-2</v>
      </c>
      <c r="C112" s="12">
        <v>8.465156049593843E-2</v>
      </c>
      <c r="D112" s="12">
        <v>4.912280701754386E-2</v>
      </c>
      <c r="E112" s="12">
        <v>0.65346534653465349</v>
      </c>
      <c r="F112" s="12">
        <v>5.7442695388014359E-2</v>
      </c>
      <c r="G112" s="12">
        <v>0.1198030634573304</v>
      </c>
      <c r="H112" s="12">
        <v>0.1216320246343341</v>
      </c>
      <c r="I112" s="12">
        <v>5.2037617554858931E-2</v>
      </c>
      <c r="J112" s="13">
        <v>6.6303000000000001E-2</v>
      </c>
      <c r="L112" s="7" t="s">
        <v>108</v>
      </c>
      <c r="M112" s="11">
        <f t="shared" si="9"/>
        <v>-2.9181655226755393E-2</v>
      </c>
      <c r="N112" s="11">
        <f t="shared" si="10"/>
        <v>1.8348560495938429E-2</v>
      </c>
      <c r="O112" s="11">
        <f t="shared" si="11"/>
        <v>-1.7180192982456141E-2</v>
      </c>
      <c r="P112" s="11">
        <f t="shared" si="12"/>
        <v>0.58716234653465349</v>
      </c>
      <c r="Q112" s="11">
        <f t="shared" si="13"/>
        <v>-8.8603046119856421E-3</v>
      </c>
      <c r="R112" s="11">
        <f t="shared" si="14"/>
        <v>5.3500063457330396E-2</v>
      </c>
      <c r="S112" s="11">
        <f t="shared" si="15"/>
        <v>5.5329024634334104E-2</v>
      </c>
      <c r="T112" s="11">
        <f t="shared" si="16"/>
        <v>-1.426538244514107E-2</v>
      </c>
      <c r="V112" s="3">
        <v>109</v>
      </c>
      <c r="W112" s="4" t="s">
        <v>108</v>
      </c>
      <c r="X112" s="5">
        <v>6.6303000000000001E-2</v>
      </c>
      <c r="Y112" s="5">
        <v>0.24881700000000001</v>
      </c>
      <c r="AA112" s="7" t="s">
        <v>96</v>
      </c>
      <c r="AB112" s="15">
        <v>0.20644370513044999</v>
      </c>
      <c r="AC112" s="15">
        <v>-5.581229486955E-2</v>
      </c>
      <c r="AD112" s="15">
        <v>-0.12688303613221574</v>
      </c>
      <c r="AF112" s="7" t="s">
        <v>71</v>
      </c>
      <c r="AG112" s="15">
        <v>0.8127404873877726</v>
      </c>
      <c r="AH112" s="15">
        <v>-0.17579151261222736</v>
      </c>
      <c r="AI112" s="15">
        <v>-0.21670123938904973</v>
      </c>
      <c r="AK112" s="7" t="s">
        <v>90</v>
      </c>
      <c r="AL112" s="15">
        <v>0</v>
      </c>
      <c r="AM112" s="15">
        <v>-0.26120500000000002</v>
      </c>
      <c r="AN112" s="15">
        <v>-0.59459096475772932</v>
      </c>
      <c r="AP112" s="7" t="s">
        <v>59</v>
      </c>
      <c r="AQ112" s="15">
        <v>0.1386138613861386</v>
      </c>
      <c r="AR112" s="15">
        <v>-0.16400513861386143</v>
      </c>
      <c r="AS112" s="15">
        <v>-0.35699622904913864</v>
      </c>
      <c r="AU112" s="7" t="s">
        <v>76</v>
      </c>
      <c r="AV112" s="15">
        <v>2.2093344380005519E-3</v>
      </c>
      <c r="AW112" s="15">
        <v>-5.773366556199945E-2</v>
      </c>
      <c r="AX112" s="15">
        <v>-0.24320483245501839</v>
      </c>
      <c r="AZ112" s="7" t="s">
        <v>60</v>
      </c>
      <c r="BA112" s="15">
        <v>0.38949671772428879</v>
      </c>
      <c r="BB112" s="15">
        <v>-0.11112928227571123</v>
      </c>
      <c r="BC112" s="15">
        <v>-0.22225323047389109</v>
      </c>
      <c r="BE112" s="7" t="s">
        <v>43</v>
      </c>
      <c r="BF112" s="15">
        <v>0</v>
      </c>
      <c r="BG112" s="15">
        <v>-3.0147E-2</v>
      </c>
      <c r="BH112" s="15">
        <v>-0.17630340068423053</v>
      </c>
      <c r="BJ112" s="7" t="s">
        <v>78</v>
      </c>
      <c r="BK112" s="15">
        <v>4.5559038662486943E-2</v>
      </c>
      <c r="BL112" s="15">
        <v>-0.10983196133751305</v>
      </c>
      <c r="BM112" s="15">
        <v>-0.30316369204858329</v>
      </c>
    </row>
    <row r="113" spans="1:65" x14ac:dyDescent="0.2">
      <c r="A113" s="10" t="s">
        <v>109</v>
      </c>
      <c r="B113" s="12">
        <v>2.171248467869025E-2</v>
      </c>
      <c r="C113" s="12">
        <v>3.1209918768704579E-2</v>
      </c>
      <c r="D113" s="12">
        <v>2.456140350877193E-2</v>
      </c>
      <c r="E113" s="12">
        <v>0.1386138613861386</v>
      </c>
      <c r="F113" s="12">
        <v>2.513117923225628E-2</v>
      </c>
      <c r="G113" s="12">
        <v>3.9387308533916851E-2</v>
      </c>
      <c r="H113" s="12">
        <v>3.9260969976905313E-2</v>
      </c>
      <c r="I113" s="12">
        <v>1.943573667711599E-2</v>
      </c>
      <c r="J113" s="13">
        <v>2.6290999999999998E-2</v>
      </c>
      <c r="L113" s="7" t="s">
        <v>109</v>
      </c>
      <c r="M113" s="11">
        <f t="shared" si="9"/>
        <v>-4.5785153213097479E-3</v>
      </c>
      <c r="N113" s="11">
        <f t="shared" si="10"/>
        <v>4.9189187687045804E-3</v>
      </c>
      <c r="O113" s="11">
        <f t="shared" si="11"/>
        <v>-1.7295964912280685E-3</v>
      </c>
      <c r="P113" s="11">
        <f t="shared" si="12"/>
        <v>0.1123228613861386</v>
      </c>
      <c r="Q113" s="11">
        <f t="shared" si="13"/>
        <v>-1.1598207677437182E-3</v>
      </c>
      <c r="R113" s="11">
        <f t="shared" si="14"/>
        <v>1.3096308533916853E-2</v>
      </c>
      <c r="S113" s="11">
        <f t="shared" si="15"/>
        <v>1.2969969976905315E-2</v>
      </c>
      <c r="T113" s="11">
        <f t="shared" si="16"/>
        <v>-6.8552633228840081E-3</v>
      </c>
      <c r="V113" s="3">
        <v>110</v>
      </c>
      <c r="W113" s="4" t="s">
        <v>109</v>
      </c>
      <c r="X113" s="5">
        <v>2.6290999999999998E-2</v>
      </c>
      <c r="Y113" s="5">
        <v>0.16000300000000001</v>
      </c>
      <c r="AA113" s="7" t="s">
        <v>56</v>
      </c>
      <c r="AB113" s="15">
        <v>1.05060409735598E-2</v>
      </c>
      <c r="AC113" s="15">
        <v>-2.6951959026440198E-2</v>
      </c>
      <c r="AD113" s="15">
        <v>-0.14193757847571806</v>
      </c>
      <c r="AF113" s="7" t="s">
        <v>45</v>
      </c>
      <c r="AG113" s="15">
        <v>4.1043180846515613E-2</v>
      </c>
      <c r="AH113" s="15">
        <v>-8.5702819153484378E-2</v>
      </c>
      <c r="AI113" s="15">
        <v>-0.25760021627331886</v>
      </c>
      <c r="AK113" s="7" t="s">
        <v>96</v>
      </c>
      <c r="AL113" s="15">
        <v>0</v>
      </c>
      <c r="AM113" s="15">
        <v>-0.26225599999999999</v>
      </c>
      <c r="AN113" s="15">
        <v>-0.59620980648916044</v>
      </c>
      <c r="AP113" s="7" t="s">
        <v>94</v>
      </c>
      <c r="AQ113" s="15">
        <v>6.9306930693069313E-2</v>
      </c>
      <c r="AR113" s="15">
        <v>-0.17907806930693068</v>
      </c>
      <c r="AS113" s="15">
        <v>-0.41444910239588484</v>
      </c>
      <c r="AU113" s="7" t="s">
        <v>13</v>
      </c>
      <c r="AV113" s="15">
        <v>1.1756420878210441</v>
      </c>
      <c r="AW113" s="15">
        <v>-0.2117579121789559</v>
      </c>
      <c r="AX113" s="15">
        <v>-0.30851725254192092</v>
      </c>
      <c r="AZ113" s="7" t="s">
        <v>40</v>
      </c>
      <c r="BA113" s="15">
        <v>4.4857768052516407E-2</v>
      </c>
      <c r="BB113" s="15">
        <v>-7.9334231947483597E-2</v>
      </c>
      <c r="BC113" s="15">
        <v>-0.240545988579704</v>
      </c>
      <c r="BE113" s="7" t="s">
        <v>56</v>
      </c>
      <c r="BF113" s="15">
        <v>7.6982294072363352E-4</v>
      </c>
      <c r="BG113" s="15">
        <v>-3.6688177059276364E-2</v>
      </c>
      <c r="BH113" s="15">
        <v>-0.19321159569044777</v>
      </c>
      <c r="BJ113" s="7" t="s">
        <v>13</v>
      </c>
      <c r="BK113" s="15">
        <v>1.174503657262278</v>
      </c>
      <c r="BL113" s="15">
        <v>-0.21289634273772196</v>
      </c>
      <c r="BM113" s="15">
        <v>-0.31017587046361372</v>
      </c>
    </row>
    <row r="114" spans="1:65" x14ac:dyDescent="0.2">
      <c r="A114" s="10" t="s">
        <v>110</v>
      </c>
      <c r="B114" s="12">
        <v>0</v>
      </c>
      <c r="C114" s="12">
        <v>0</v>
      </c>
      <c r="D114" s="12">
        <v>0</v>
      </c>
      <c r="E114" s="12">
        <v>0.63366336633663367</v>
      </c>
      <c r="F114" s="12">
        <v>0</v>
      </c>
      <c r="G114" s="12">
        <v>0</v>
      </c>
      <c r="H114" s="12">
        <v>0</v>
      </c>
      <c r="I114" s="12">
        <v>0</v>
      </c>
      <c r="J114" s="13">
        <v>3.2049999999999999E-3</v>
      </c>
      <c r="L114" s="7" t="s">
        <v>110</v>
      </c>
      <c r="M114" s="11">
        <f t="shared" si="9"/>
        <v>-3.2049999999999999E-3</v>
      </c>
      <c r="N114" s="11">
        <f t="shared" si="10"/>
        <v>-3.2049999999999999E-3</v>
      </c>
      <c r="O114" s="11">
        <f t="shared" si="11"/>
        <v>-3.2049999999999999E-3</v>
      </c>
      <c r="P114" s="11">
        <f t="shared" si="12"/>
        <v>0.63045836633663366</v>
      </c>
      <c r="Q114" s="11">
        <f t="shared" si="13"/>
        <v>-3.2049999999999999E-3</v>
      </c>
      <c r="R114" s="11">
        <f t="shared" si="14"/>
        <v>-3.2049999999999999E-3</v>
      </c>
      <c r="S114" s="11">
        <f t="shared" si="15"/>
        <v>-3.2049999999999999E-3</v>
      </c>
      <c r="T114" s="11">
        <f t="shared" si="16"/>
        <v>-3.2049999999999999E-3</v>
      </c>
      <c r="V114" s="3">
        <v>111</v>
      </c>
      <c r="W114" s="4" t="s">
        <v>110</v>
      </c>
      <c r="X114" s="5">
        <v>3.2049999999999999E-3</v>
      </c>
      <c r="Y114" s="5">
        <v>5.6522999999999997E-2</v>
      </c>
      <c r="AA114" s="7" t="s">
        <v>52</v>
      </c>
      <c r="AB114" s="15">
        <v>3.6070740675888627E-2</v>
      </c>
      <c r="AC114" s="15">
        <v>-3.9296259324111377E-2</v>
      </c>
      <c r="AD114" s="15">
        <v>-0.14885566945634621</v>
      </c>
      <c r="AF114" s="7" t="s">
        <v>62</v>
      </c>
      <c r="AG114" s="15">
        <v>2.3086789226165031E-2</v>
      </c>
      <c r="AH114" s="15">
        <v>-8.0373210773834969E-2</v>
      </c>
      <c r="AI114" s="15">
        <v>-0.26389336590581047</v>
      </c>
      <c r="AK114" s="7" t="s">
        <v>98</v>
      </c>
      <c r="AL114" s="15">
        <v>0</v>
      </c>
      <c r="AM114" s="15">
        <v>-0.35239599999999999</v>
      </c>
      <c r="AN114" s="15">
        <v>-0.73764833200412783</v>
      </c>
      <c r="AP114" s="7" t="s">
        <v>72</v>
      </c>
      <c r="AQ114" s="15">
        <v>2.3663366336633662</v>
      </c>
      <c r="AR114" s="15">
        <v>-0.75880736633663393</v>
      </c>
      <c r="AS114" s="15">
        <v>-0.44282328402486387</v>
      </c>
      <c r="AU114" s="7" t="s">
        <v>106</v>
      </c>
      <c r="AV114" s="15">
        <v>0.66096658381662632</v>
      </c>
      <c r="AW114" s="15">
        <v>-0.3833144161833737</v>
      </c>
      <c r="AX114" s="15">
        <v>-0.40914016145471843</v>
      </c>
      <c r="AZ114" s="7" t="s">
        <v>105</v>
      </c>
      <c r="BA114" s="15">
        <v>0.28532822757111342</v>
      </c>
      <c r="BB114" s="15">
        <v>-4.6302772428886585E-2</v>
      </c>
      <c r="BC114" s="15">
        <v>-0.24577886762116535</v>
      </c>
      <c r="BE114" s="7" t="s">
        <v>42</v>
      </c>
      <c r="BF114" s="15">
        <v>1.8475750577367209E-2</v>
      </c>
      <c r="BG114" s="15">
        <v>-6.7607249422632798E-2</v>
      </c>
      <c r="BH114" s="15">
        <v>-0.24102921781796685</v>
      </c>
      <c r="BJ114" s="7" t="s">
        <v>81</v>
      </c>
      <c r="BK114" s="15">
        <v>3.3437826541274818E-3</v>
      </c>
      <c r="BL114" s="15">
        <v>-0.10893021734587252</v>
      </c>
      <c r="BM114" s="15">
        <v>-0.34503142857192975</v>
      </c>
    </row>
    <row r="115" spans="1:65" x14ac:dyDescent="0.2">
      <c r="A115" s="10" t="s">
        <v>111</v>
      </c>
      <c r="B115" s="12">
        <v>0</v>
      </c>
      <c r="C115" s="12">
        <v>0</v>
      </c>
      <c r="D115" s="12">
        <v>0</v>
      </c>
      <c r="E115" s="12">
        <v>6.9306930693069313E-2</v>
      </c>
      <c r="F115" s="12">
        <v>0</v>
      </c>
      <c r="G115" s="12">
        <v>0</v>
      </c>
      <c r="H115" s="12">
        <v>0</v>
      </c>
      <c r="I115" s="12">
        <v>0</v>
      </c>
      <c r="J115" s="13">
        <v>3.5100000000000002E-4</v>
      </c>
      <c r="L115" s="7" t="s">
        <v>111</v>
      </c>
      <c r="M115" s="11">
        <f t="shared" si="9"/>
        <v>-3.5100000000000002E-4</v>
      </c>
      <c r="N115" s="11">
        <f t="shared" si="10"/>
        <v>-3.5100000000000002E-4</v>
      </c>
      <c r="O115" s="11">
        <f t="shared" si="11"/>
        <v>-3.5100000000000002E-4</v>
      </c>
      <c r="P115" s="11">
        <f t="shared" si="12"/>
        <v>6.8955930693069309E-2</v>
      </c>
      <c r="Q115" s="11">
        <f t="shared" si="13"/>
        <v>-3.5100000000000002E-4</v>
      </c>
      <c r="R115" s="11">
        <f t="shared" si="14"/>
        <v>-3.5100000000000002E-4</v>
      </c>
      <c r="S115" s="11">
        <f t="shared" si="15"/>
        <v>-3.5100000000000002E-4</v>
      </c>
      <c r="T115" s="11">
        <f t="shared" si="16"/>
        <v>-3.5100000000000002E-4</v>
      </c>
      <c r="V115" s="3">
        <v>112</v>
      </c>
      <c r="W115" s="4" t="s">
        <v>111</v>
      </c>
      <c r="X115" s="5">
        <v>3.5100000000000002E-4</v>
      </c>
      <c r="Y115" s="5">
        <v>1.8720000000000001E-2</v>
      </c>
      <c r="AA115" s="7" t="s">
        <v>54</v>
      </c>
      <c r="AB115" s="15">
        <v>5.2355104184906319E-2</v>
      </c>
      <c r="AC115" s="15">
        <v>-4.3943895815093677E-2</v>
      </c>
      <c r="AD115" s="15">
        <v>-0.14895781421954474</v>
      </c>
      <c r="AF115" s="7" t="s">
        <v>61</v>
      </c>
      <c r="AG115" s="15">
        <v>8.123129542539546E-3</v>
      </c>
      <c r="AH115" s="15">
        <v>-0.10124687045746045</v>
      </c>
      <c r="AI115" s="15">
        <v>-0.32439483021197796</v>
      </c>
      <c r="AK115" s="7" t="s">
        <v>88</v>
      </c>
      <c r="AL115" s="15">
        <v>0</v>
      </c>
      <c r="AM115" s="15">
        <v>-0.35605199999999998</v>
      </c>
      <c r="AN115" s="15">
        <v>-0.74356730702965268</v>
      </c>
      <c r="AP115" s="7" t="s">
        <v>104</v>
      </c>
      <c r="AQ115" s="15">
        <v>1.643564356435645E-2</v>
      </c>
      <c r="AR115" s="15">
        <v>-1.330935643564355E-2</v>
      </c>
      <c r="AS115" s="15">
        <v>-0.46616078020537111</v>
      </c>
      <c r="AU115" s="7" t="s">
        <v>74</v>
      </c>
      <c r="AV115" s="15">
        <v>4.1425020712510356E-3</v>
      </c>
      <c r="AW115" s="15">
        <v>-0.15610549792874898</v>
      </c>
      <c r="AX115" s="15">
        <v>-0.42553530218143626</v>
      </c>
      <c r="AZ115" s="7" t="s">
        <v>42</v>
      </c>
      <c r="BA115" s="15">
        <v>0</v>
      </c>
      <c r="BB115" s="15">
        <v>-8.6083000000000007E-2</v>
      </c>
      <c r="BC115" s="15">
        <v>-0.30689783025661865</v>
      </c>
      <c r="BE115" s="7" t="s">
        <v>50</v>
      </c>
      <c r="BF115" s="15">
        <v>0.25789068514241731</v>
      </c>
      <c r="BG115" s="15">
        <v>-0.12890931485758267</v>
      </c>
      <c r="BH115" s="15">
        <v>-0.26468509032846643</v>
      </c>
      <c r="BJ115" s="7" t="s">
        <v>106</v>
      </c>
      <c r="BK115" s="15">
        <v>0.643051201671894</v>
      </c>
      <c r="BL115" s="15">
        <v>-0.40122979832810601</v>
      </c>
      <c r="BM115" s="15">
        <v>-0.42826258950269513</v>
      </c>
    </row>
    <row r="116" spans="1:65" x14ac:dyDescent="0.2">
      <c r="A116" s="10" t="s">
        <v>112</v>
      </c>
      <c r="B116" s="12">
        <v>0</v>
      </c>
      <c r="C116" s="12">
        <v>0</v>
      </c>
      <c r="D116" s="12">
        <v>3.508771929824561E-3</v>
      </c>
      <c r="E116" s="12">
        <v>1</v>
      </c>
      <c r="F116" s="12">
        <v>0</v>
      </c>
      <c r="G116" s="12">
        <v>0</v>
      </c>
      <c r="H116" s="12">
        <v>0</v>
      </c>
      <c r="I116" s="12">
        <v>0</v>
      </c>
      <c r="J116" s="13">
        <v>5.1079999999999997E-3</v>
      </c>
      <c r="L116" s="7" t="s">
        <v>112</v>
      </c>
      <c r="M116" s="11">
        <f t="shared" si="9"/>
        <v>-5.1079999999999997E-3</v>
      </c>
      <c r="N116" s="11">
        <f t="shared" si="10"/>
        <v>-5.1079999999999997E-3</v>
      </c>
      <c r="O116" s="11">
        <f t="shared" si="11"/>
        <v>-1.5992280701754387E-3</v>
      </c>
      <c r="P116" s="11">
        <f t="shared" si="12"/>
        <v>0.994892</v>
      </c>
      <c r="Q116" s="11">
        <f t="shared" si="13"/>
        <v>-5.1079999999999997E-3</v>
      </c>
      <c r="R116" s="11">
        <f t="shared" si="14"/>
        <v>-5.1079999999999997E-3</v>
      </c>
      <c r="S116" s="11">
        <f t="shared" si="15"/>
        <v>-5.1079999999999997E-3</v>
      </c>
      <c r="T116" s="11">
        <f t="shared" si="16"/>
        <v>-5.1079999999999997E-3</v>
      </c>
      <c r="V116" s="3">
        <v>113</v>
      </c>
      <c r="W116" s="4" t="s">
        <v>112</v>
      </c>
      <c r="X116" s="5">
        <v>5.1079999999999997E-3</v>
      </c>
      <c r="Y116" s="5">
        <v>7.1289000000000005E-2</v>
      </c>
      <c r="AA116" s="7" t="s">
        <v>59</v>
      </c>
      <c r="AB116" s="15">
        <v>0.13815443880231129</v>
      </c>
      <c r="AC116" s="15">
        <v>-0.16446456119768874</v>
      </c>
      <c r="AD116" s="15">
        <v>-0.35799627167800108</v>
      </c>
      <c r="AF116" s="7" t="s">
        <v>44</v>
      </c>
      <c r="AG116" s="15">
        <v>8.9781958101752879E-2</v>
      </c>
      <c r="AH116" s="15">
        <v>-0.16586404189824711</v>
      </c>
      <c r="AI116" s="15">
        <v>-0.38021718087326123</v>
      </c>
      <c r="AK116" s="7" t="s">
        <v>99</v>
      </c>
      <c r="AL116" s="15">
        <v>0</v>
      </c>
      <c r="AM116" s="15">
        <v>-0.460063</v>
      </c>
      <c r="AN116" s="15">
        <v>-0.92305207507799725</v>
      </c>
      <c r="AP116" s="7" t="s">
        <v>51</v>
      </c>
      <c r="AQ116" s="15">
        <v>0</v>
      </c>
      <c r="AR116" s="15">
        <v>-0.179478</v>
      </c>
      <c r="AS116" s="15">
        <v>-0.4676804894700361</v>
      </c>
      <c r="AU116" s="7" t="s">
        <v>104</v>
      </c>
      <c r="AV116" s="15">
        <v>1.677437172051939E-2</v>
      </c>
      <c r="AW116" s="15">
        <v>-1.297062827948061E-2</v>
      </c>
      <c r="AX116" s="15">
        <v>-0.45429681200240307</v>
      </c>
      <c r="AZ116" s="7" t="s">
        <v>41</v>
      </c>
      <c r="BA116" s="15">
        <v>2.1881838074398249E-3</v>
      </c>
      <c r="BB116" s="15">
        <v>-0.14418881619256019</v>
      </c>
      <c r="BC116" s="15">
        <v>-0.40789723189019356</v>
      </c>
      <c r="BE116" s="7" t="s">
        <v>54</v>
      </c>
      <c r="BF116" s="15">
        <v>6.9284064665127024E-3</v>
      </c>
      <c r="BG116" s="15">
        <v>-8.9370593533487294E-2</v>
      </c>
      <c r="BH116" s="15">
        <v>-0.30294192222436361</v>
      </c>
      <c r="BJ116" s="7" t="s">
        <v>104</v>
      </c>
      <c r="BK116" s="15">
        <v>1.3897596656217599E-2</v>
      </c>
      <c r="BL116" s="15">
        <v>-1.5847403343782401E-2</v>
      </c>
      <c r="BM116" s="15">
        <v>-0.55505598205955664</v>
      </c>
    </row>
    <row r="117" spans="1:65" x14ac:dyDescent="0.2">
      <c r="A117" s="10" t="s">
        <v>113</v>
      </c>
      <c r="B117" s="12">
        <v>0</v>
      </c>
      <c r="C117" s="12">
        <v>0</v>
      </c>
      <c r="D117" s="12">
        <v>3.508771929824561E-3</v>
      </c>
      <c r="E117" s="12">
        <v>1.5148514851485151</v>
      </c>
      <c r="F117" s="12">
        <v>0</v>
      </c>
      <c r="G117" s="12">
        <v>0</v>
      </c>
      <c r="H117" s="12">
        <v>0</v>
      </c>
      <c r="I117" s="12">
        <v>0</v>
      </c>
      <c r="J117" s="13">
        <v>7.7120000000000001E-3</v>
      </c>
      <c r="L117" s="7" t="s">
        <v>113</v>
      </c>
      <c r="M117" s="11">
        <f t="shared" si="9"/>
        <v>-7.7120000000000001E-3</v>
      </c>
      <c r="N117" s="11">
        <f t="shared" si="10"/>
        <v>-7.7120000000000001E-3</v>
      </c>
      <c r="O117" s="11">
        <f t="shared" si="11"/>
        <v>-4.2032280701754391E-3</v>
      </c>
      <c r="P117" s="11">
        <f t="shared" si="12"/>
        <v>1.5071394851485151</v>
      </c>
      <c r="Q117" s="11">
        <f t="shared" si="13"/>
        <v>-7.7120000000000001E-3</v>
      </c>
      <c r="R117" s="11">
        <f t="shared" si="14"/>
        <v>-7.7120000000000001E-3</v>
      </c>
      <c r="S117" s="11">
        <f t="shared" si="15"/>
        <v>-7.7120000000000001E-3</v>
      </c>
      <c r="T117" s="11">
        <f t="shared" si="16"/>
        <v>-7.7120000000000001E-3</v>
      </c>
      <c r="V117" s="3">
        <v>114</v>
      </c>
      <c r="W117" s="4" t="s">
        <v>113</v>
      </c>
      <c r="X117" s="5">
        <v>7.7120000000000001E-3</v>
      </c>
      <c r="Y117" s="5">
        <v>0.122738</v>
      </c>
      <c r="AA117" s="7" t="s">
        <v>13</v>
      </c>
      <c r="AB117" s="15">
        <v>1.1364034319733849</v>
      </c>
      <c r="AC117" s="15">
        <v>-0.25099656802661507</v>
      </c>
      <c r="AD117" s="15">
        <v>-0.36568537519193656</v>
      </c>
      <c r="AF117" s="7" t="s">
        <v>104</v>
      </c>
      <c r="AG117" s="15">
        <v>1.7392047883711129E-2</v>
      </c>
      <c r="AH117" s="15">
        <v>-1.2352952116288871E-2</v>
      </c>
      <c r="AI117" s="15">
        <v>-0.43266267788479812</v>
      </c>
      <c r="AK117" s="7" t="s">
        <v>95</v>
      </c>
      <c r="AL117" s="15">
        <v>0</v>
      </c>
      <c r="AM117" s="15">
        <v>-0.47498600000000002</v>
      </c>
      <c r="AN117" s="15">
        <v>-0.95113999991990172</v>
      </c>
      <c r="AP117" s="7" t="s">
        <v>106</v>
      </c>
      <c r="AQ117" s="15">
        <v>0.54316831683168343</v>
      </c>
      <c r="AR117" s="15">
        <v>-0.50111268316831659</v>
      </c>
      <c r="AS117" s="15">
        <v>-0.53487506715742772</v>
      </c>
      <c r="AU117" s="7" t="s">
        <v>73</v>
      </c>
      <c r="AV117" s="15">
        <v>0</v>
      </c>
      <c r="AW117" s="15">
        <v>-0.19645499999999999</v>
      </c>
      <c r="AX117" s="15">
        <v>-0.49444285045529363</v>
      </c>
      <c r="AZ117" s="7" t="s">
        <v>50</v>
      </c>
      <c r="BA117" s="15">
        <v>4.7045951859956227E-2</v>
      </c>
      <c r="BB117" s="15">
        <v>-0.33975404814004373</v>
      </c>
      <c r="BC117" s="15">
        <v>-0.69760537491616259</v>
      </c>
      <c r="BE117" s="7" t="s">
        <v>71</v>
      </c>
      <c r="BF117" s="15">
        <v>0.67128560431100848</v>
      </c>
      <c r="BG117" s="15">
        <v>-0.31724639568899149</v>
      </c>
      <c r="BH117" s="15">
        <v>-0.39107512140908396</v>
      </c>
      <c r="BJ117" s="7" t="s">
        <v>72</v>
      </c>
      <c r="BK117" s="15">
        <v>2.081504702194358</v>
      </c>
      <c r="BL117" s="15">
        <v>-1.0436392978056421</v>
      </c>
      <c r="BM117" s="15">
        <v>-0.60904493247456448</v>
      </c>
    </row>
    <row r="118" spans="1:65" x14ac:dyDescent="0.2">
      <c r="A118" s="10" t="s">
        <v>114</v>
      </c>
      <c r="B118" s="12">
        <v>0</v>
      </c>
      <c r="C118" s="12">
        <v>0</v>
      </c>
      <c r="D118" s="12">
        <v>1</v>
      </c>
      <c r="E118" s="12">
        <v>9.9009900990099011E-3</v>
      </c>
      <c r="F118" s="12">
        <v>0</v>
      </c>
      <c r="G118" s="12">
        <v>0</v>
      </c>
      <c r="H118" s="12">
        <v>7.6982294072363352E-4</v>
      </c>
      <c r="I118" s="12">
        <v>0</v>
      </c>
      <c r="J118" s="13">
        <v>1.4371999999999999E-2</v>
      </c>
      <c r="L118" s="7" t="s">
        <v>114</v>
      </c>
      <c r="M118" s="11">
        <f t="shared" si="9"/>
        <v>-1.4371999999999999E-2</v>
      </c>
      <c r="N118" s="11">
        <f t="shared" si="10"/>
        <v>-1.4371999999999999E-2</v>
      </c>
      <c r="O118" s="11">
        <f t="shared" si="11"/>
        <v>0.98562799999999995</v>
      </c>
      <c r="P118" s="11">
        <f t="shared" si="12"/>
        <v>-4.4710099009900982E-3</v>
      </c>
      <c r="Q118" s="11">
        <f t="shared" si="13"/>
        <v>-1.4371999999999999E-2</v>
      </c>
      <c r="R118" s="11">
        <f t="shared" si="14"/>
        <v>-1.4371999999999999E-2</v>
      </c>
      <c r="S118" s="11">
        <f t="shared" si="15"/>
        <v>-1.3602177059276365E-2</v>
      </c>
      <c r="T118" s="11">
        <f t="shared" si="16"/>
        <v>-1.4371999999999999E-2</v>
      </c>
      <c r="V118" s="3">
        <v>115</v>
      </c>
      <c r="W118" s="4" t="s">
        <v>114</v>
      </c>
      <c r="X118" s="5">
        <v>1.4371999999999999E-2</v>
      </c>
      <c r="Y118" s="5">
        <v>0.119023</v>
      </c>
      <c r="AA118" s="7" t="s">
        <v>71</v>
      </c>
      <c r="AB118" s="15">
        <v>0.15618980914025571</v>
      </c>
      <c r="AC118" s="15">
        <v>-0.83234219085974426</v>
      </c>
      <c r="AD118" s="15">
        <v>-1.0260426210278695</v>
      </c>
      <c r="AF118" s="7" t="s">
        <v>106</v>
      </c>
      <c r="AG118" s="15">
        <v>0.56978623343308898</v>
      </c>
      <c r="AH118" s="15">
        <v>-0.47449476656691103</v>
      </c>
      <c r="AI118" s="15">
        <v>-0.50646377283585597</v>
      </c>
      <c r="AK118" s="7" t="s">
        <v>93</v>
      </c>
      <c r="AL118" s="15">
        <v>0</v>
      </c>
      <c r="AM118" s="15">
        <v>-87.401196999999996</v>
      </c>
      <c r="AN118" s="15">
        <v>-7.1395427389720902</v>
      </c>
      <c r="AP118" s="7" t="s">
        <v>98</v>
      </c>
      <c r="AQ118" s="15">
        <v>8.9108910891089105E-2</v>
      </c>
      <c r="AR118" s="15">
        <v>-0.26328708910891085</v>
      </c>
      <c r="AS118" s="15">
        <v>-0.55112226619885096</v>
      </c>
      <c r="AU118" s="7" t="s">
        <v>105</v>
      </c>
      <c r="AV118" s="15">
        <v>0.2227644297155478</v>
      </c>
      <c r="AW118" s="15">
        <v>-0.10886657028445221</v>
      </c>
      <c r="AX118" s="15">
        <v>-0.57787257571686801</v>
      </c>
      <c r="AZ118" s="7" t="s">
        <v>57</v>
      </c>
      <c r="BA118" s="15">
        <v>9.4638949671772429E-2</v>
      </c>
      <c r="BB118" s="15">
        <v>-0.42326405032822756</v>
      </c>
      <c r="BC118" s="15">
        <v>-0.84704988338461995</v>
      </c>
      <c r="BE118" s="7" t="s">
        <v>57</v>
      </c>
      <c r="BF118" s="15">
        <v>6.8514241724403388E-2</v>
      </c>
      <c r="BG118" s="15">
        <v>-0.4493887582755966</v>
      </c>
      <c r="BH118" s="15">
        <v>-0.89933150475812418</v>
      </c>
      <c r="BJ118" s="7" t="s">
        <v>105</v>
      </c>
      <c r="BK118" s="15">
        <v>0.20080250783699241</v>
      </c>
      <c r="BL118" s="15">
        <v>-0.1308284921630076</v>
      </c>
      <c r="BM118" s="15">
        <v>-0.69444823645912568</v>
      </c>
    </row>
  </sheetData>
  <sortState xmlns:xlrd2="http://schemas.microsoft.com/office/spreadsheetml/2017/richdata2" ref="BJ4:BM118">
    <sortCondition descending="1" ref="BM4:BM118"/>
  </sortState>
  <mergeCells count="1">
    <mergeCell ref="M2:R2"/>
  </mergeCells>
  <conditionalFormatting sqref="B4:I4">
    <cfRule type="colorScale" priority="253">
      <colorScale>
        <cfvo type="min"/>
        <cfvo type="percentile" val="50"/>
        <cfvo type="max"/>
        <color rgb="FFF8696B"/>
        <color rgb="FFFCFCFF"/>
        <color rgb="FF63BE7B"/>
      </colorScale>
    </cfRule>
  </conditionalFormatting>
  <conditionalFormatting sqref="B5:I5">
    <cfRule type="colorScale" priority="252">
      <colorScale>
        <cfvo type="min"/>
        <cfvo type="percentile" val="50"/>
        <cfvo type="max"/>
        <color rgb="FFF8696B"/>
        <color rgb="FFFCFCFF"/>
        <color rgb="FF63BE7B"/>
      </colorScale>
    </cfRule>
  </conditionalFormatting>
  <conditionalFormatting sqref="B6:I6">
    <cfRule type="colorScale" priority="251">
      <colorScale>
        <cfvo type="min"/>
        <cfvo type="percentile" val="50"/>
        <cfvo type="max"/>
        <color rgb="FFF8696B"/>
        <color rgb="FFFCFCFF"/>
        <color rgb="FF63BE7B"/>
      </colorScale>
    </cfRule>
  </conditionalFormatting>
  <conditionalFormatting sqref="B7:I7">
    <cfRule type="colorScale" priority="250">
      <colorScale>
        <cfvo type="min"/>
        <cfvo type="percentile" val="50"/>
        <cfvo type="max"/>
        <color rgb="FFF8696B"/>
        <color rgb="FFFCFCFF"/>
        <color rgb="FF63BE7B"/>
      </colorScale>
    </cfRule>
  </conditionalFormatting>
  <conditionalFormatting sqref="B8:I8">
    <cfRule type="colorScale" priority="249">
      <colorScale>
        <cfvo type="min"/>
        <cfvo type="percentile" val="50"/>
        <cfvo type="max"/>
        <color rgb="FFF8696B"/>
        <color rgb="FFFCFCFF"/>
        <color rgb="FF63BE7B"/>
      </colorScale>
    </cfRule>
  </conditionalFormatting>
  <conditionalFormatting sqref="B9:I9">
    <cfRule type="colorScale" priority="248">
      <colorScale>
        <cfvo type="min"/>
        <cfvo type="percentile" val="50"/>
        <cfvo type="max"/>
        <color rgb="FFF8696B"/>
        <color rgb="FFFCFCFF"/>
        <color rgb="FF63BE7B"/>
      </colorScale>
    </cfRule>
  </conditionalFormatting>
  <conditionalFormatting sqref="B10:I10">
    <cfRule type="colorScale" priority="247">
      <colorScale>
        <cfvo type="min"/>
        <cfvo type="percentile" val="50"/>
        <cfvo type="max"/>
        <color rgb="FFF8696B"/>
        <color rgb="FFFCFCFF"/>
        <color rgb="FF63BE7B"/>
      </colorScale>
    </cfRule>
  </conditionalFormatting>
  <conditionalFormatting sqref="B11:I11">
    <cfRule type="colorScale" priority="246">
      <colorScale>
        <cfvo type="min"/>
        <cfvo type="percentile" val="50"/>
        <cfvo type="max"/>
        <color rgb="FFF8696B"/>
        <color rgb="FFFCFCFF"/>
        <color rgb="FF63BE7B"/>
      </colorScale>
    </cfRule>
  </conditionalFormatting>
  <conditionalFormatting sqref="B12:I12">
    <cfRule type="colorScale" priority="245">
      <colorScale>
        <cfvo type="min"/>
        <cfvo type="percentile" val="50"/>
        <cfvo type="max"/>
        <color rgb="FFF8696B"/>
        <color rgb="FFFCFCFF"/>
        <color rgb="FF63BE7B"/>
      </colorScale>
    </cfRule>
  </conditionalFormatting>
  <conditionalFormatting sqref="B13:I13">
    <cfRule type="colorScale" priority="244">
      <colorScale>
        <cfvo type="min"/>
        <cfvo type="percentile" val="50"/>
        <cfvo type="max"/>
        <color rgb="FFF8696B"/>
        <color rgb="FFFCFCFF"/>
        <color rgb="FF63BE7B"/>
      </colorScale>
    </cfRule>
  </conditionalFormatting>
  <conditionalFormatting sqref="B14:I14">
    <cfRule type="colorScale" priority="243">
      <colorScale>
        <cfvo type="min"/>
        <cfvo type="percentile" val="50"/>
        <cfvo type="max"/>
        <color rgb="FFF8696B"/>
        <color rgb="FFFCFCFF"/>
        <color rgb="FF63BE7B"/>
      </colorScale>
    </cfRule>
  </conditionalFormatting>
  <conditionalFormatting sqref="B15:I15">
    <cfRule type="colorScale" priority="242">
      <colorScale>
        <cfvo type="min"/>
        <cfvo type="percentile" val="50"/>
        <cfvo type="max"/>
        <color rgb="FFF8696B"/>
        <color rgb="FFFCFCFF"/>
        <color rgb="FF63BE7B"/>
      </colorScale>
    </cfRule>
  </conditionalFormatting>
  <conditionalFormatting sqref="B16:I16">
    <cfRule type="colorScale" priority="241">
      <colorScale>
        <cfvo type="min"/>
        <cfvo type="percentile" val="50"/>
        <cfvo type="max"/>
        <color rgb="FFF8696B"/>
        <color rgb="FFFCFCFF"/>
        <color rgb="FF63BE7B"/>
      </colorScale>
    </cfRule>
  </conditionalFormatting>
  <conditionalFormatting sqref="B17:I17">
    <cfRule type="colorScale" priority="240">
      <colorScale>
        <cfvo type="min"/>
        <cfvo type="percentile" val="50"/>
        <cfvo type="max"/>
        <color rgb="FFF8696B"/>
        <color rgb="FFFCFCFF"/>
        <color rgb="FF63BE7B"/>
      </colorScale>
    </cfRule>
  </conditionalFormatting>
  <conditionalFormatting sqref="B18:I18">
    <cfRule type="colorScale" priority="239">
      <colorScale>
        <cfvo type="min"/>
        <cfvo type="percentile" val="50"/>
        <cfvo type="max"/>
        <color rgb="FFF8696B"/>
        <color rgb="FFFCFCFF"/>
        <color rgb="FF63BE7B"/>
      </colorScale>
    </cfRule>
  </conditionalFormatting>
  <conditionalFormatting sqref="B19:I19">
    <cfRule type="colorScale" priority="238">
      <colorScale>
        <cfvo type="min"/>
        <cfvo type="percentile" val="50"/>
        <cfvo type="max"/>
        <color rgb="FFF8696B"/>
        <color rgb="FFFCFCFF"/>
        <color rgb="FF63BE7B"/>
      </colorScale>
    </cfRule>
  </conditionalFormatting>
  <conditionalFormatting sqref="B20:I20">
    <cfRule type="colorScale" priority="237">
      <colorScale>
        <cfvo type="min"/>
        <cfvo type="percentile" val="50"/>
        <cfvo type="max"/>
        <color rgb="FFF8696B"/>
        <color rgb="FFFCFCFF"/>
        <color rgb="FF63BE7B"/>
      </colorScale>
    </cfRule>
  </conditionalFormatting>
  <conditionalFormatting sqref="B21:I21">
    <cfRule type="colorScale" priority="236">
      <colorScale>
        <cfvo type="min"/>
        <cfvo type="percentile" val="50"/>
        <cfvo type="max"/>
        <color rgb="FFF8696B"/>
        <color rgb="FFFCFCFF"/>
        <color rgb="FF63BE7B"/>
      </colorScale>
    </cfRule>
  </conditionalFormatting>
  <conditionalFormatting sqref="B22:I22">
    <cfRule type="colorScale" priority="235">
      <colorScale>
        <cfvo type="min"/>
        <cfvo type="percentile" val="50"/>
        <cfvo type="max"/>
        <color rgb="FFF8696B"/>
        <color rgb="FFFCFCFF"/>
        <color rgb="FF63BE7B"/>
      </colorScale>
    </cfRule>
  </conditionalFormatting>
  <conditionalFormatting sqref="B23:I23">
    <cfRule type="colorScale" priority="234">
      <colorScale>
        <cfvo type="min"/>
        <cfvo type="percentile" val="50"/>
        <cfvo type="max"/>
        <color rgb="FFF8696B"/>
        <color rgb="FFFCFCFF"/>
        <color rgb="FF63BE7B"/>
      </colorScale>
    </cfRule>
  </conditionalFormatting>
  <conditionalFormatting sqref="B24:I24">
    <cfRule type="colorScale" priority="233">
      <colorScale>
        <cfvo type="min"/>
        <cfvo type="percentile" val="50"/>
        <cfvo type="max"/>
        <color rgb="FFF8696B"/>
        <color rgb="FFFCFCFF"/>
        <color rgb="FF63BE7B"/>
      </colorScale>
    </cfRule>
  </conditionalFormatting>
  <conditionalFormatting sqref="B25:I25">
    <cfRule type="colorScale" priority="232">
      <colorScale>
        <cfvo type="min"/>
        <cfvo type="percentile" val="50"/>
        <cfvo type="max"/>
        <color rgb="FFF8696B"/>
        <color rgb="FFFCFCFF"/>
        <color rgb="FF63BE7B"/>
      </colorScale>
    </cfRule>
  </conditionalFormatting>
  <conditionalFormatting sqref="B26:I26">
    <cfRule type="colorScale" priority="231">
      <colorScale>
        <cfvo type="min"/>
        <cfvo type="percentile" val="50"/>
        <cfvo type="max"/>
        <color rgb="FFF8696B"/>
        <color rgb="FFFCFCFF"/>
        <color rgb="FF63BE7B"/>
      </colorScale>
    </cfRule>
  </conditionalFormatting>
  <conditionalFormatting sqref="B27:I27">
    <cfRule type="colorScale" priority="230">
      <colorScale>
        <cfvo type="min"/>
        <cfvo type="percentile" val="50"/>
        <cfvo type="max"/>
        <color rgb="FFF8696B"/>
        <color rgb="FFFCFCFF"/>
        <color rgb="FF63BE7B"/>
      </colorScale>
    </cfRule>
  </conditionalFormatting>
  <conditionalFormatting sqref="B28:I28">
    <cfRule type="colorScale" priority="229">
      <colorScale>
        <cfvo type="min"/>
        <cfvo type="percentile" val="50"/>
        <cfvo type="max"/>
        <color rgb="FFF8696B"/>
        <color rgb="FFFCFCFF"/>
        <color rgb="FF63BE7B"/>
      </colorScale>
    </cfRule>
  </conditionalFormatting>
  <conditionalFormatting sqref="B29:I29">
    <cfRule type="colorScale" priority="228">
      <colorScale>
        <cfvo type="min"/>
        <cfvo type="percentile" val="50"/>
        <cfvo type="max"/>
        <color rgb="FFF8696B"/>
        <color rgb="FFFCFCFF"/>
        <color rgb="FF63BE7B"/>
      </colorScale>
    </cfRule>
  </conditionalFormatting>
  <conditionalFormatting sqref="B30:I30">
    <cfRule type="colorScale" priority="227">
      <colorScale>
        <cfvo type="min"/>
        <cfvo type="percentile" val="50"/>
        <cfvo type="max"/>
        <color rgb="FFF8696B"/>
        <color rgb="FFFCFCFF"/>
        <color rgb="FF63BE7B"/>
      </colorScale>
    </cfRule>
  </conditionalFormatting>
  <conditionalFormatting sqref="B31:I31">
    <cfRule type="colorScale" priority="226">
      <colorScale>
        <cfvo type="min"/>
        <cfvo type="percentile" val="50"/>
        <cfvo type="max"/>
        <color rgb="FFF8696B"/>
        <color rgb="FFFCFCFF"/>
        <color rgb="FF63BE7B"/>
      </colorScale>
    </cfRule>
  </conditionalFormatting>
  <conditionalFormatting sqref="B32:I32">
    <cfRule type="colorScale" priority="225">
      <colorScale>
        <cfvo type="min"/>
        <cfvo type="percentile" val="50"/>
        <cfvo type="max"/>
        <color rgb="FFF8696B"/>
        <color rgb="FFFCFCFF"/>
        <color rgb="FF63BE7B"/>
      </colorScale>
    </cfRule>
  </conditionalFormatting>
  <conditionalFormatting sqref="B33:I33">
    <cfRule type="colorScale" priority="224">
      <colorScale>
        <cfvo type="min"/>
        <cfvo type="percentile" val="50"/>
        <cfvo type="max"/>
        <color rgb="FFF8696B"/>
        <color rgb="FFFCFCFF"/>
        <color rgb="FF63BE7B"/>
      </colorScale>
    </cfRule>
  </conditionalFormatting>
  <conditionalFormatting sqref="B34:I34">
    <cfRule type="colorScale" priority="223">
      <colorScale>
        <cfvo type="min"/>
        <cfvo type="percentile" val="50"/>
        <cfvo type="max"/>
        <color rgb="FFF8696B"/>
        <color rgb="FFFCFCFF"/>
        <color rgb="FF63BE7B"/>
      </colorScale>
    </cfRule>
  </conditionalFormatting>
  <conditionalFormatting sqref="B35:I35">
    <cfRule type="colorScale" priority="222">
      <colorScale>
        <cfvo type="min"/>
        <cfvo type="percentile" val="50"/>
        <cfvo type="max"/>
        <color rgb="FFF8696B"/>
        <color rgb="FFFCFCFF"/>
        <color rgb="FF63BE7B"/>
      </colorScale>
    </cfRule>
  </conditionalFormatting>
  <conditionalFormatting sqref="B36:I36">
    <cfRule type="colorScale" priority="221">
      <colorScale>
        <cfvo type="min"/>
        <cfvo type="percentile" val="50"/>
        <cfvo type="max"/>
        <color rgb="FFF8696B"/>
        <color rgb="FFFCFCFF"/>
        <color rgb="FF63BE7B"/>
      </colorScale>
    </cfRule>
  </conditionalFormatting>
  <conditionalFormatting sqref="B37:I37">
    <cfRule type="colorScale" priority="220">
      <colorScale>
        <cfvo type="min"/>
        <cfvo type="percentile" val="50"/>
        <cfvo type="max"/>
        <color rgb="FFF8696B"/>
        <color rgb="FFFCFCFF"/>
        <color rgb="FF63BE7B"/>
      </colorScale>
    </cfRule>
  </conditionalFormatting>
  <conditionalFormatting sqref="B38:I38">
    <cfRule type="colorScale" priority="219">
      <colorScale>
        <cfvo type="min"/>
        <cfvo type="percentile" val="50"/>
        <cfvo type="max"/>
        <color rgb="FFF8696B"/>
        <color rgb="FFFCFCFF"/>
        <color rgb="FF63BE7B"/>
      </colorScale>
    </cfRule>
  </conditionalFormatting>
  <conditionalFormatting sqref="B39:I39">
    <cfRule type="colorScale" priority="218">
      <colorScale>
        <cfvo type="min"/>
        <cfvo type="percentile" val="50"/>
        <cfvo type="max"/>
        <color rgb="FFF8696B"/>
        <color rgb="FFFCFCFF"/>
        <color rgb="FF63BE7B"/>
      </colorScale>
    </cfRule>
  </conditionalFormatting>
  <conditionalFormatting sqref="B40:I40">
    <cfRule type="colorScale" priority="217">
      <colorScale>
        <cfvo type="min"/>
        <cfvo type="percentile" val="50"/>
        <cfvo type="max"/>
        <color rgb="FFF8696B"/>
        <color rgb="FFFCFCFF"/>
        <color rgb="FF63BE7B"/>
      </colorScale>
    </cfRule>
  </conditionalFormatting>
  <conditionalFormatting sqref="B41:I41">
    <cfRule type="colorScale" priority="216">
      <colorScale>
        <cfvo type="min"/>
        <cfvo type="percentile" val="50"/>
        <cfvo type="max"/>
        <color rgb="FFF8696B"/>
        <color rgb="FFFCFCFF"/>
        <color rgb="FF63BE7B"/>
      </colorScale>
    </cfRule>
  </conditionalFormatting>
  <conditionalFormatting sqref="B42:I42">
    <cfRule type="colorScale" priority="215">
      <colorScale>
        <cfvo type="min"/>
        <cfvo type="percentile" val="50"/>
        <cfvo type="max"/>
        <color rgb="FFF8696B"/>
        <color rgb="FFFCFCFF"/>
        <color rgb="FF63BE7B"/>
      </colorScale>
    </cfRule>
  </conditionalFormatting>
  <conditionalFormatting sqref="B43:I43">
    <cfRule type="colorScale" priority="214">
      <colorScale>
        <cfvo type="min"/>
        <cfvo type="percentile" val="50"/>
        <cfvo type="max"/>
        <color rgb="FFF8696B"/>
        <color rgb="FFFCFCFF"/>
        <color rgb="FF63BE7B"/>
      </colorScale>
    </cfRule>
  </conditionalFormatting>
  <conditionalFormatting sqref="B44:I44">
    <cfRule type="colorScale" priority="213">
      <colorScale>
        <cfvo type="min"/>
        <cfvo type="percentile" val="50"/>
        <cfvo type="max"/>
        <color rgb="FFF8696B"/>
        <color rgb="FFFCFCFF"/>
        <color rgb="FF63BE7B"/>
      </colorScale>
    </cfRule>
  </conditionalFormatting>
  <conditionalFormatting sqref="B45:I45">
    <cfRule type="colorScale" priority="212">
      <colorScale>
        <cfvo type="min"/>
        <cfvo type="percentile" val="50"/>
        <cfvo type="max"/>
        <color rgb="FFF8696B"/>
        <color rgb="FFFCFCFF"/>
        <color rgb="FF63BE7B"/>
      </colorScale>
    </cfRule>
  </conditionalFormatting>
  <conditionalFormatting sqref="B46:I46">
    <cfRule type="colorScale" priority="211">
      <colorScale>
        <cfvo type="min"/>
        <cfvo type="percentile" val="50"/>
        <cfvo type="max"/>
        <color rgb="FFF8696B"/>
        <color rgb="FFFCFCFF"/>
        <color rgb="FF63BE7B"/>
      </colorScale>
    </cfRule>
  </conditionalFormatting>
  <conditionalFormatting sqref="B47:I47">
    <cfRule type="colorScale" priority="210">
      <colorScale>
        <cfvo type="min"/>
        <cfvo type="percentile" val="50"/>
        <cfvo type="max"/>
        <color rgb="FFF8696B"/>
        <color rgb="FFFCFCFF"/>
        <color rgb="FF63BE7B"/>
      </colorScale>
    </cfRule>
  </conditionalFormatting>
  <conditionalFormatting sqref="B48:I48">
    <cfRule type="colorScale" priority="209">
      <colorScale>
        <cfvo type="min"/>
        <cfvo type="percentile" val="50"/>
        <cfvo type="max"/>
        <color rgb="FFF8696B"/>
        <color rgb="FFFCFCFF"/>
        <color rgb="FF63BE7B"/>
      </colorScale>
    </cfRule>
  </conditionalFormatting>
  <conditionalFormatting sqref="B49:I49">
    <cfRule type="colorScale" priority="208">
      <colorScale>
        <cfvo type="min"/>
        <cfvo type="percentile" val="50"/>
        <cfvo type="max"/>
        <color rgb="FFF8696B"/>
        <color rgb="FFFCFCFF"/>
        <color rgb="FF63BE7B"/>
      </colorScale>
    </cfRule>
  </conditionalFormatting>
  <conditionalFormatting sqref="B50:I50">
    <cfRule type="colorScale" priority="207">
      <colorScale>
        <cfvo type="min"/>
        <cfvo type="percentile" val="50"/>
        <cfvo type="max"/>
        <color rgb="FFF8696B"/>
        <color rgb="FFFCFCFF"/>
        <color rgb="FF63BE7B"/>
      </colorScale>
    </cfRule>
  </conditionalFormatting>
  <conditionalFormatting sqref="B51:I51">
    <cfRule type="colorScale" priority="206">
      <colorScale>
        <cfvo type="min"/>
        <cfvo type="percentile" val="50"/>
        <cfvo type="max"/>
        <color rgb="FFF8696B"/>
        <color rgb="FFFCFCFF"/>
        <color rgb="FF63BE7B"/>
      </colorScale>
    </cfRule>
  </conditionalFormatting>
  <conditionalFormatting sqref="B52:I52">
    <cfRule type="colorScale" priority="205">
      <colorScale>
        <cfvo type="min"/>
        <cfvo type="percentile" val="50"/>
        <cfvo type="max"/>
        <color rgb="FFF8696B"/>
        <color rgb="FFFCFCFF"/>
        <color rgb="FF63BE7B"/>
      </colorScale>
    </cfRule>
  </conditionalFormatting>
  <conditionalFormatting sqref="B53:I53">
    <cfRule type="colorScale" priority="204">
      <colorScale>
        <cfvo type="min"/>
        <cfvo type="percentile" val="50"/>
        <cfvo type="max"/>
        <color rgb="FFF8696B"/>
        <color rgb="FFFCFCFF"/>
        <color rgb="FF63BE7B"/>
      </colorScale>
    </cfRule>
  </conditionalFormatting>
  <conditionalFormatting sqref="B54:I54">
    <cfRule type="colorScale" priority="203">
      <colorScale>
        <cfvo type="min"/>
        <cfvo type="percentile" val="50"/>
        <cfvo type="max"/>
        <color rgb="FFF8696B"/>
        <color rgb="FFFCFCFF"/>
        <color rgb="FF63BE7B"/>
      </colorScale>
    </cfRule>
  </conditionalFormatting>
  <conditionalFormatting sqref="B55:I55">
    <cfRule type="colorScale" priority="202">
      <colorScale>
        <cfvo type="min"/>
        <cfvo type="percentile" val="50"/>
        <cfvo type="max"/>
        <color rgb="FFF8696B"/>
        <color rgb="FFFCFCFF"/>
        <color rgb="FF63BE7B"/>
      </colorScale>
    </cfRule>
  </conditionalFormatting>
  <conditionalFormatting sqref="B56:I56">
    <cfRule type="colorScale" priority="201">
      <colorScale>
        <cfvo type="min"/>
        <cfvo type="percentile" val="50"/>
        <cfvo type="max"/>
        <color rgb="FFF8696B"/>
        <color rgb="FFFCFCFF"/>
        <color rgb="FF63BE7B"/>
      </colorScale>
    </cfRule>
  </conditionalFormatting>
  <conditionalFormatting sqref="B57:I57">
    <cfRule type="colorScale" priority="200">
      <colorScale>
        <cfvo type="min"/>
        <cfvo type="percentile" val="50"/>
        <cfvo type="max"/>
        <color rgb="FFF8696B"/>
        <color rgb="FFFCFCFF"/>
        <color rgb="FF63BE7B"/>
      </colorScale>
    </cfRule>
  </conditionalFormatting>
  <conditionalFormatting sqref="B58:I58">
    <cfRule type="colorScale" priority="199">
      <colorScale>
        <cfvo type="min"/>
        <cfvo type="percentile" val="50"/>
        <cfvo type="max"/>
        <color rgb="FFF8696B"/>
        <color rgb="FFFCFCFF"/>
        <color rgb="FF63BE7B"/>
      </colorScale>
    </cfRule>
  </conditionalFormatting>
  <conditionalFormatting sqref="B59:I59">
    <cfRule type="colorScale" priority="198">
      <colorScale>
        <cfvo type="min"/>
        <cfvo type="percentile" val="50"/>
        <cfvo type="max"/>
        <color rgb="FFF8696B"/>
        <color rgb="FFFCFCFF"/>
        <color rgb="FF63BE7B"/>
      </colorScale>
    </cfRule>
  </conditionalFormatting>
  <conditionalFormatting sqref="B60:I60">
    <cfRule type="colorScale" priority="197">
      <colorScale>
        <cfvo type="min"/>
        <cfvo type="percentile" val="50"/>
        <cfvo type="max"/>
        <color rgb="FFF8696B"/>
        <color rgb="FFFCFCFF"/>
        <color rgb="FF63BE7B"/>
      </colorScale>
    </cfRule>
  </conditionalFormatting>
  <conditionalFormatting sqref="B61:I61">
    <cfRule type="colorScale" priority="196">
      <colorScale>
        <cfvo type="min"/>
        <cfvo type="percentile" val="50"/>
        <cfvo type="max"/>
        <color rgb="FFF8696B"/>
        <color rgb="FFFCFCFF"/>
        <color rgb="FF63BE7B"/>
      </colorScale>
    </cfRule>
  </conditionalFormatting>
  <conditionalFormatting sqref="B62:I62">
    <cfRule type="colorScale" priority="195">
      <colorScale>
        <cfvo type="min"/>
        <cfvo type="percentile" val="50"/>
        <cfvo type="max"/>
        <color rgb="FFF8696B"/>
        <color rgb="FFFCFCFF"/>
        <color rgb="FF63BE7B"/>
      </colorScale>
    </cfRule>
  </conditionalFormatting>
  <conditionalFormatting sqref="B63:I63">
    <cfRule type="colorScale" priority="194">
      <colorScale>
        <cfvo type="min"/>
        <cfvo type="percentile" val="50"/>
        <cfvo type="max"/>
        <color rgb="FFF8696B"/>
        <color rgb="FFFCFCFF"/>
        <color rgb="FF63BE7B"/>
      </colorScale>
    </cfRule>
  </conditionalFormatting>
  <conditionalFormatting sqref="B64:I64">
    <cfRule type="colorScale" priority="193">
      <colorScale>
        <cfvo type="min"/>
        <cfvo type="percentile" val="50"/>
        <cfvo type="max"/>
        <color rgb="FFF8696B"/>
        <color rgb="FFFCFCFF"/>
        <color rgb="FF63BE7B"/>
      </colorScale>
    </cfRule>
  </conditionalFormatting>
  <conditionalFormatting sqref="B65:I65">
    <cfRule type="colorScale" priority="192">
      <colorScale>
        <cfvo type="min"/>
        <cfvo type="percentile" val="50"/>
        <cfvo type="max"/>
        <color rgb="FFF8696B"/>
        <color rgb="FFFCFCFF"/>
        <color rgb="FF63BE7B"/>
      </colorScale>
    </cfRule>
  </conditionalFormatting>
  <conditionalFormatting sqref="B66:I66">
    <cfRule type="colorScale" priority="191">
      <colorScale>
        <cfvo type="min"/>
        <cfvo type="percentile" val="50"/>
        <cfvo type="max"/>
        <color rgb="FFF8696B"/>
        <color rgb="FFFCFCFF"/>
        <color rgb="FF63BE7B"/>
      </colorScale>
    </cfRule>
  </conditionalFormatting>
  <conditionalFormatting sqref="B67:I67">
    <cfRule type="colorScale" priority="190">
      <colorScale>
        <cfvo type="min"/>
        <cfvo type="percentile" val="50"/>
        <cfvo type="max"/>
        <color rgb="FFF8696B"/>
        <color rgb="FFFCFCFF"/>
        <color rgb="FF63BE7B"/>
      </colorScale>
    </cfRule>
  </conditionalFormatting>
  <conditionalFormatting sqref="B68:I68">
    <cfRule type="colorScale" priority="189">
      <colorScale>
        <cfvo type="min"/>
        <cfvo type="percentile" val="50"/>
        <cfvo type="max"/>
        <color rgb="FFF8696B"/>
        <color rgb="FFFCFCFF"/>
        <color rgb="FF63BE7B"/>
      </colorScale>
    </cfRule>
  </conditionalFormatting>
  <conditionalFormatting sqref="B69:I69">
    <cfRule type="colorScale" priority="188">
      <colorScale>
        <cfvo type="min"/>
        <cfvo type="percentile" val="50"/>
        <cfvo type="max"/>
        <color rgb="FFF8696B"/>
        <color rgb="FFFCFCFF"/>
        <color rgb="FF63BE7B"/>
      </colorScale>
    </cfRule>
  </conditionalFormatting>
  <conditionalFormatting sqref="B70:I70">
    <cfRule type="colorScale" priority="187">
      <colorScale>
        <cfvo type="min"/>
        <cfvo type="percentile" val="50"/>
        <cfvo type="max"/>
        <color rgb="FFF8696B"/>
        <color rgb="FFFCFCFF"/>
        <color rgb="FF63BE7B"/>
      </colorScale>
    </cfRule>
  </conditionalFormatting>
  <conditionalFormatting sqref="B71:I71">
    <cfRule type="colorScale" priority="186">
      <colorScale>
        <cfvo type="min"/>
        <cfvo type="percentile" val="50"/>
        <cfvo type="max"/>
        <color rgb="FFF8696B"/>
        <color rgb="FFFCFCFF"/>
        <color rgb="FF63BE7B"/>
      </colorScale>
    </cfRule>
  </conditionalFormatting>
  <conditionalFormatting sqref="B72:I72">
    <cfRule type="colorScale" priority="185">
      <colorScale>
        <cfvo type="min"/>
        <cfvo type="percentile" val="50"/>
        <cfvo type="max"/>
        <color rgb="FFF8696B"/>
        <color rgb="FFFCFCFF"/>
        <color rgb="FF63BE7B"/>
      </colorScale>
    </cfRule>
  </conditionalFormatting>
  <conditionalFormatting sqref="B73:I73">
    <cfRule type="colorScale" priority="184">
      <colorScale>
        <cfvo type="min"/>
        <cfvo type="percentile" val="50"/>
        <cfvo type="max"/>
        <color rgb="FFF8696B"/>
        <color rgb="FFFCFCFF"/>
        <color rgb="FF63BE7B"/>
      </colorScale>
    </cfRule>
  </conditionalFormatting>
  <conditionalFormatting sqref="B74:I74">
    <cfRule type="colorScale" priority="183">
      <colorScale>
        <cfvo type="min"/>
        <cfvo type="percentile" val="50"/>
        <cfvo type="max"/>
        <color rgb="FFF8696B"/>
        <color rgb="FFFCFCFF"/>
        <color rgb="FF63BE7B"/>
      </colorScale>
    </cfRule>
  </conditionalFormatting>
  <conditionalFormatting sqref="B75:I75">
    <cfRule type="colorScale" priority="182">
      <colorScale>
        <cfvo type="min"/>
        <cfvo type="percentile" val="50"/>
        <cfvo type="max"/>
        <color rgb="FFF8696B"/>
        <color rgb="FFFCFCFF"/>
        <color rgb="FF63BE7B"/>
      </colorScale>
    </cfRule>
  </conditionalFormatting>
  <conditionalFormatting sqref="B76:I76">
    <cfRule type="colorScale" priority="181">
      <colorScale>
        <cfvo type="min"/>
        <cfvo type="percentile" val="50"/>
        <cfvo type="max"/>
        <color rgb="FFF8696B"/>
        <color rgb="FFFCFCFF"/>
        <color rgb="FF63BE7B"/>
      </colorScale>
    </cfRule>
  </conditionalFormatting>
  <conditionalFormatting sqref="B77:I77">
    <cfRule type="colorScale" priority="180">
      <colorScale>
        <cfvo type="min"/>
        <cfvo type="percentile" val="50"/>
        <cfvo type="max"/>
        <color rgb="FFF8696B"/>
        <color rgb="FFFCFCFF"/>
        <color rgb="FF63BE7B"/>
      </colorScale>
    </cfRule>
  </conditionalFormatting>
  <conditionalFormatting sqref="B78:I78">
    <cfRule type="colorScale" priority="179">
      <colorScale>
        <cfvo type="min"/>
        <cfvo type="percentile" val="50"/>
        <cfvo type="max"/>
        <color rgb="FFF8696B"/>
        <color rgb="FFFCFCFF"/>
        <color rgb="FF63BE7B"/>
      </colorScale>
    </cfRule>
  </conditionalFormatting>
  <conditionalFormatting sqref="B79:I79">
    <cfRule type="colorScale" priority="178">
      <colorScale>
        <cfvo type="min"/>
        <cfvo type="percentile" val="50"/>
        <cfvo type="max"/>
        <color rgb="FFF8696B"/>
        <color rgb="FFFCFCFF"/>
        <color rgb="FF63BE7B"/>
      </colorScale>
    </cfRule>
  </conditionalFormatting>
  <conditionalFormatting sqref="B80:I80">
    <cfRule type="colorScale" priority="177">
      <colorScale>
        <cfvo type="min"/>
        <cfvo type="percentile" val="50"/>
        <cfvo type="max"/>
        <color rgb="FFF8696B"/>
        <color rgb="FFFCFCFF"/>
        <color rgb="FF63BE7B"/>
      </colorScale>
    </cfRule>
  </conditionalFormatting>
  <conditionalFormatting sqref="B81:I81">
    <cfRule type="colorScale" priority="176">
      <colorScale>
        <cfvo type="min"/>
        <cfvo type="percentile" val="50"/>
        <cfvo type="max"/>
        <color rgb="FFF8696B"/>
        <color rgb="FFFCFCFF"/>
        <color rgb="FF63BE7B"/>
      </colorScale>
    </cfRule>
  </conditionalFormatting>
  <conditionalFormatting sqref="B82:I82">
    <cfRule type="colorScale" priority="175">
      <colorScale>
        <cfvo type="min"/>
        <cfvo type="percentile" val="50"/>
        <cfvo type="max"/>
        <color rgb="FFF8696B"/>
        <color rgb="FFFCFCFF"/>
        <color rgb="FF63BE7B"/>
      </colorScale>
    </cfRule>
  </conditionalFormatting>
  <conditionalFormatting sqref="B83:I83">
    <cfRule type="colorScale" priority="174">
      <colorScale>
        <cfvo type="min"/>
        <cfvo type="percentile" val="50"/>
        <cfvo type="max"/>
        <color rgb="FFF8696B"/>
        <color rgb="FFFCFCFF"/>
        <color rgb="FF63BE7B"/>
      </colorScale>
    </cfRule>
  </conditionalFormatting>
  <conditionalFormatting sqref="B74:I74">
    <cfRule type="colorScale" priority="173">
      <colorScale>
        <cfvo type="min"/>
        <cfvo type="percentile" val="50"/>
        <cfvo type="max"/>
        <color rgb="FFF8696B"/>
        <color rgb="FFFCFCFF"/>
        <color rgb="FF63BE7B"/>
      </colorScale>
    </cfRule>
  </conditionalFormatting>
  <conditionalFormatting sqref="B75:I75">
    <cfRule type="colorScale" priority="172">
      <colorScale>
        <cfvo type="min"/>
        <cfvo type="percentile" val="50"/>
        <cfvo type="max"/>
        <color rgb="FFF8696B"/>
        <color rgb="FFFCFCFF"/>
        <color rgb="FF63BE7B"/>
      </colorScale>
    </cfRule>
  </conditionalFormatting>
  <conditionalFormatting sqref="B76:I76">
    <cfRule type="colorScale" priority="171">
      <colorScale>
        <cfvo type="min"/>
        <cfvo type="percentile" val="50"/>
        <cfvo type="max"/>
        <color rgb="FFF8696B"/>
        <color rgb="FFFCFCFF"/>
        <color rgb="FF63BE7B"/>
      </colorScale>
    </cfRule>
  </conditionalFormatting>
  <conditionalFormatting sqref="B77:I77">
    <cfRule type="colorScale" priority="170">
      <colorScale>
        <cfvo type="min"/>
        <cfvo type="percentile" val="50"/>
        <cfvo type="max"/>
        <color rgb="FFF8696B"/>
        <color rgb="FFFCFCFF"/>
        <color rgb="FF63BE7B"/>
      </colorScale>
    </cfRule>
  </conditionalFormatting>
  <conditionalFormatting sqref="B78:I78">
    <cfRule type="colorScale" priority="169">
      <colorScale>
        <cfvo type="min"/>
        <cfvo type="percentile" val="50"/>
        <cfvo type="max"/>
        <color rgb="FFF8696B"/>
        <color rgb="FFFCFCFF"/>
        <color rgb="FF63BE7B"/>
      </colorScale>
    </cfRule>
  </conditionalFormatting>
  <conditionalFormatting sqref="B79:I79">
    <cfRule type="colorScale" priority="168">
      <colorScale>
        <cfvo type="min"/>
        <cfvo type="percentile" val="50"/>
        <cfvo type="max"/>
        <color rgb="FFF8696B"/>
        <color rgb="FFFCFCFF"/>
        <color rgb="FF63BE7B"/>
      </colorScale>
    </cfRule>
  </conditionalFormatting>
  <conditionalFormatting sqref="B80:I80">
    <cfRule type="colorScale" priority="167">
      <colorScale>
        <cfvo type="min"/>
        <cfvo type="percentile" val="50"/>
        <cfvo type="max"/>
        <color rgb="FFF8696B"/>
        <color rgb="FFFCFCFF"/>
        <color rgb="FF63BE7B"/>
      </colorScale>
    </cfRule>
  </conditionalFormatting>
  <conditionalFormatting sqref="B81:I81">
    <cfRule type="colorScale" priority="166">
      <colorScale>
        <cfvo type="min"/>
        <cfvo type="percentile" val="50"/>
        <cfvo type="max"/>
        <color rgb="FFF8696B"/>
        <color rgb="FFFCFCFF"/>
        <color rgb="FF63BE7B"/>
      </colorScale>
    </cfRule>
  </conditionalFormatting>
  <conditionalFormatting sqref="B82:I82">
    <cfRule type="colorScale" priority="165">
      <colorScale>
        <cfvo type="min"/>
        <cfvo type="percentile" val="50"/>
        <cfvo type="max"/>
        <color rgb="FFF8696B"/>
        <color rgb="FFFCFCFF"/>
        <color rgb="FF63BE7B"/>
      </colorScale>
    </cfRule>
  </conditionalFormatting>
  <conditionalFormatting sqref="B83:I83">
    <cfRule type="colorScale" priority="164">
      <colorScale>
        <cfvo type="min"/>
        <cfvo type="percentile" val="50"/>
        <cfvo type="max"/>
        <color rgb="FFF8696B"/>
        <color rgb="FFFCFCFF"/>
        <color rgb="FF63BE7B"/>
      </colorScale>
    </cfRule>
  </conditionalFormatting>
  <conditionalFormatting sqref="B84:I84">
    <cfRule type="colorScale" priority="163">
      <colorScale>
        <cfvo type="min"/>
        <cfvo type="percentile" val="50"/>
        <cfvo type="max"/>
        <color rgb="FFF8696B"/>
        <color rgb="FFFCFCFF"/>
        <color rgb="FF63BE7B"/>
      </colorScale>
    </cfRule>
  </conditionalFormatting>
  <conditionalFormatting sqref="B85:I85">
    <cfRule type="colorScale" priority="162">
      <colorScale>
        <cfvo type="min"/>
        <cfvo type="percentile" val="50"/>
        <cfvo type="max"/>
        <color rgb="FFF8696B"/>
        <color rgb="FFFCFCFF"/>
        <color rgb="FF63BE7B"/>
      </colorScale>
    </cfRule>
  </conditionalFormatting>
  <conditionalFormatting sqref="B86:I86">
    <cfRule type="colorScale" priority="161">
      <colorScale>
        <cfvo type="min"/>
        <cfvo type="percentile" val="50"/>
        <cfvo type="max"/>
        <color rgb="FFF8696B"/>
        <color rgb="FFFCFCFF"/>
        <color rgb="FF63BE7B"/>
      </colorScale>
    </cfRule>
  </conditionalFormatting>
  <conditionalFormatting sqref="B87:I87">
    <cfRule type="colorScale" priority="160">
      <colorScale>
        <cfvo type="min"/>
        <cfvo type="percentile" val="50"/>
        <cfvo type="max"/>
        <color rgb="FFF8696B"/>
        <color rgb="FFFCFCFF"/>
        <color rgb="FF63BE7B"/>
      </colorScale>
    </cfRule>
  </conditionalFormatting>
  <conditionalFormatting sqref="B88:I88">
    <cfRule type="colorScale" priority="159">
      <colorScale>
        <cfvo type="min"/>
        <cfvo type="percentile" val="50"/>
        <cfvo type="max"/>
        <color rgb="FFF8696B"/>
        <color rgb="FFFCFCFF"/>
        <color rgb="FF63BE7B"/>
      </colorScale>
    </cfRule>
  </conditionalFormatting>
  <conditionalFormatting sqref="B89:I89">
    <cfRule type="colorScale" priority="158">
      <colorScale>
        <cfvo type="min"/>
        <cfvo type="percentile" val="50"/>
        <cfvo type="max"/>
        <color rgb="FFF8696B"/>
        <color rgb="FFFCFCFF"/>
        <color rgb="FF63BE7B"/>
      </colorScale>
    </cfRule>
  </conditionalFormatting>
  <conditionalFormatting sqref="B90:I90">
    <cfRule type="colorScale" priority="157">
      <colorScale>
        <cfvo type="min"/>
        <cfvo type="percentile" val="50"/>
        <cfvo type="max"/>
        <color rgb="FFF8696B"/>
        <color rgb="FFFCFCFF"/>
        <color rgb="FF63BE7B"/>
      </colorScale>
    </cfRule>
  </conditionalFormatting>
  <conditionalFormatting sqref="B91:I91">
    <cfRule type="colorScale" priority="156">
      <colorScale>
        <cfvo type="min"/>
        <cfvo type="percentile" val="50"/>
        <cfvo type="max"/>
        <color rgb="FFF8696B"/>
        <color rgb="FFFCFCFF"/>
        <color rgb="FF63BE7B"/>
      </colorScale>
    </cfRule>
  </conditionalFormatting>
  <conditionalFormatting sqref="B92:I92">
    <cfRule type="colorScale" priority="155">
      <colorScale>
        <cfvo type="min"/>
        <cfvo type="percentile" val="50"/>
        <cfvo type="max"/>
        <color rgb="FFF8696B"/>
        <color rgb="FFFCFCFF"/>
        <color rgb="FF63BE7B"/>
      </colorScale>
    </cfRule>
  </conditionalFormatting>
  <conditionalFormatting sqref="B93:I93">
    <cfRule type="colorScale" priority="154">
      <colorScale>
        <cfvo type="min"/>
        <cfvo type="percentile" val="50"/>
        <cfvo type="max"/>
        <color rgb="FFF8696B"/>
        <color rgb="FFFCFCFF"/>
        <color rgb="FF63BE7B"/>
      </colorScale>
    </cfRule>
  </conditionalFormatting>
  <conditionalFormatting sqref="B94:I94">
    <cfRule type="colorScale" priority="153">
      <colorScale>
        <cfvo type="min"/>
        <cfvo type="percentile" val="50"/>
        <cfvo type="max"/>
        <color rgb="FFF8696B"/>
        <color rgb="FFFCFCFF"/>
        <color rgb="FF63BE7B"/>
      </colorScale>
    </cfRule>
  </conditionalFormatting>
  <conditionalFormatting sqref="B95:I95">
    <cfRule type="colorScale" priority="152">
      <colorScale>
        <cfvo type="min"/>
        <cfvo type="percentile" val="50"/>
        <cfvo type="max"/>
        <color rgb="FFF8696B"/>
        <color rgb="FFFCFCFF"/>
        <color rgb="FF63BE7B"/>
      </colorScale>
    </cfRule>
  </conditionalFormatting>
  <conditionalFormatting sqref="B96:I96">
    <cfRule type="colorScale" priority="151">
      <colorScale>
        <cfvo type="min"/>
        <cfvo type="percentile" val="50"/>
        <cfvo type="max"/>
        <color rgb="FFF8696B"/>
        <color rgb="FFFCFCFF"/>
        <color rgb="FF63BE7B"/>
      </colorScale>
    </cfRule>
  </conditionalFormatting>
  <conditionalFormatting sqref="B97:I97">
    <cfRule type="colorScale" priority="150">
      <colorScale>
        <cfvo type="min"/>
        <cfvo type="percentile" val="50"/>
        <cfvo type="max"/>
        <color rgb="FFF8696B"/>
        <color rgb="FFFCFCFF"/>
        <color rgb="FF63BE7B"/>
      </colorScale>
    </cfRule>
  </conditionalFormatting>
  <conditionalFormatting sqref="B98:I98">
    <cfRule type="colorScale" priority="149">
      <colorScale>
        <cfvo type="min"/>
        <cfvo type="percentile" val="50"/>
        <cfvo type="max"/>
        <color rgb="FFF8696B"/>
        <color rgb="FFFCFCFF"/>
        <color rgb="FF63BE7B"/>
      </colorScale>
    </cfRule>
  </conditionalFormatting>
  <conditionalFormatting sqref="B99:I99">
    <cfRule type="colorScale" priority="148">
      <colorScale>
        <cfvo type="min"/>
        <cfvo type="percentile" val="50"/>
        <cfvo type="max"/>
        <color rgb="FFF8696B"/>
        <color rgb="FFFCFCFF"/>
        <color rgb="FF63BE7B"/>
      </colorScale>
    </cfRule>
  </conditionalFormatting>
  <conditionalFormatting sqref="B100:I100">
    <cfRule type="colorScale" priority="147">
      <colorScale>
        <cfvo type="min"/>
        <cfvo type="percentile" val="50"/>
        <cfvo type="max"/>
        <color rgb="FFF8696B"/>
        <color rgb="FFFCFCFF"/>
        <color rgb="FF63BE7B"/>
      </colorScale>
    </cfRule>
  </conditionalFormatting>
  <conditionalFormatting sqref="B101:I101">
    <cfRule type="colorScale" priority="146">
      <colorScale>
        <cfvo type="min"/>
        <cfvo type="percentile" val="50"/>
        <cfvo type="max"/>
        <color rgb="FFF8696B"/>
        <color rgb="FFFCFCFF"/>
        <color rgb="FF63BE7B"/>
      </colorScale>
    </cfRule>
  </conditionalFormatting>
  <conditionalFormatting sqref="B102:I102">
    <cfRule type="colorScale" priority="145">
      <colorScale>
        <cfvo type="min"/>
        <cfvo type="percentile" val="50"/>
        <cfvo type="max"/>
        <color rgb="FFF8696B"/>
        <color rgb="FFFCFCFF"/>
        <color rgb="FF63BE7B"/>
      </colorScale>
    </cfRule>
  </conditionalFormatting>
  <conditionalFormatting sqref="B103:I103">
    <cfRule type="colorScale" priority="144">
      <colorScale>
        <cfvo type="min"/>
        <cfvo type="percentile" val="50"/>
        <cfvo type="max"/>
        <color rgb="FFF8696B"/>
        <color rgb="FFFCFCFF"/>
        <color rgb="FF63BE7B"/>
      </colorScale>
    </cfRule>
  </conditionalFormatting>
  <conditionalFormatting sqref="B104:I104">
    <cfRule type="colorScale" priority="143">
      <colorScale>
        <cfvo type="min"/>
        <cfvo type="percentile" val="50"/>
        <cfvo type="max"/>
        <color rgb="FFF8696B"/>
        <color rgb="FFFCFCFF"/>
        <color rgb="FF63BE7B"/>
      </colorScale>
    </cfRule>
  </conditionalFormatting>
  <conditionalFormatting sqref="B105:I105">
    <cfRule type="colorScale" priority="142">
      <colorScale>
        <cfvo type="min"/>
        <cfvo type="percentile" val="50"/>
        <cfvo type="max"/>
        <color rgb="FFF8696B"/>
        <color rgb="FFFCFCFF"/>
        <color rgb="FF63BE7B"/>
      </colorScale>
    </cfRule>
  </conditionalFormatting>
  <conditionalFormatting sqref="B106:I106">
    <cfRule type="colorScale" priority="141">
      <colorScale>
        <cfvo type="min"/>
        <cfvo type="percentile" val="50"/>
        <cfvo type="max"/>
        <color rgb="FFF8696B"/>
        <color rgb="FFFCFCFF"/>
        <color rgb="FF63BE7B"/>
      </colorScale>
    </cfRule>
  </conditionalFormatting>
  <conditionalFormatting sqref="B107:I107">
    <cfRule type="colorScale" priority="140">
      <colorScale>
        <cfvo type="min"/>
        <cfvo type="percentile" val="50"/>
        <cfvo type="max"/>
        <color rgb="FFF8696B"/>
        <color rgb="FFFCFCFF"/>
        <color rgb="FF63BE7B"/>
      </colorScale>
    </cfRule>
  </conditionalFormatting>
  <conditionalFormatting sqref="B108:I108">
    <cfRule type="colorScale" priority="139">
      <colorScale>
        <cfvo type="min"/>
        <cfvo type="percentile" val="50"/>
        <cfvo type="max"/>
        <color rgb="FFF8696B"/>
        <color rgb="FFFCFCFF"/>
        <color rgb="FF63BE7B"/>
      </colorScale>
    </cfRule>
  </conditionalFormatting>
  <conditionalFormatting sqref="B109:I109">
    <cfRule type="colorScale" priority="138">
      <colorScale>
        <cfvo type="min"/>
        <cfvo type="percentile" val="50"/>
        <cfvo type="max"/>
        <color rgb="FFF8696B"/>
        <color rgb="FFFCFCFF"/>
        <color rgb="FF63BE7B"/>
      </colorScale>
    </cfRule>
  </conditionalFormatting>
  <conditionalFormatting sqref="B110:I110">
    <cfRule type="colorScale" priority="137">
      <colorScale>
        <cfvo type="min"/>
        <cfvo type="percentile" val="50"/>
        <cfvo type="max"/>
        <color rgb="FFF8696B"/>
        <color rgb="FFFCFCFF"/>
        <color rgb="FF63BE7B"/>
      </colorScale>
    </cfRule>
  </conditionalFormatting>
  <conditionalFormatting sqref="B111:I111">
    <cfRule type="colorScale" priority="136">
      <colorScale>
        <cfvo type="min"/>
        <cfvo type="percentile" val="50"/>
        <cfvo type="max"/>
        <color rgb="FFF8696B"/>
        <color rgb="FFFCFCFF"/>
        <color rgb="FF63BE7B"/>
      </colorScale>
    </cfRule>
  </conditionalFormatting>
  <conditionalFormatting sqref="B112:I112">
    <cfRule type="colorScale" priority="135">
      <colorScale>
        <cfvo type="min"/>
        <cfvo type="percentile" val="50"/>
        <cfvo type="max"/>
        <color rgb="FFF8696B"/>
        <color rgb="FFFCFCFF"/>
        <color rgb="FF63BE7B"/>
      </colorScale>
    </cfRule>
  </conditionalFormatting>
  <conditionalFormatting sqref="B113:I113">
    <cfRule type="colorScale" priority="134">
      <colorScale>
        <cfvo type="min"/>
        <cfvo type="percentile" val="50"/>
        <cfvo type="max"/>
        <color rgb="FFF8696B"/>
        <color rgb="FFFCFCFF"/>
        <color rgb="FF63BE7B"/>
      </colorScale>
    </cfRule>
  </conditionalFormatting>
  <conditionalFormatting sqref="B114:I114">
    <cfRule type="colorScale" priority="133">
      <colorScale>
        <cfvo type="min"/>
        <cfvo type="percentile" val="50"/>
        <cfvo type="max"/>
        <color rgb="FFF8696B"/>
        <color rgb="FFFCFCFF"/>
        <color rgb="FF63BE7B"/>
      </colorScale>
    </cfRule>
  </conditionalFormatting>
  <conditionalFormatting sqref="B115:I115">
    <cfRule type="colorScale" priority="132">
      <colorScale>
        <cfvo type="min"/>
        <cfvo type="percentile" val="50"/>
        <cfvo type="max"/>
        <color rgb="FFF8696B"/>
        <color rgb="FFFCFCFF"/>
        <color rgb="FF63BE7B"/>
      </colorScale>
    </cfRule>
  </conditionalFormatting>
  <conditionalFormatting sqref="B116:I116">
    <cfRule type="colorScale" priority="131">
      <colorScale>
        <cfvo type="min"/>
        <cfvo type="percentile" val="50"/>
        <cfvo type="max"/>
        <color rgb="FFF8696B"/>
        <color rgb="FFFCFCFF"/>
        <color rgb="FF63BE7B"/>
      </colorScale>
    </cfRule>
  </conditionalFormatting>
  <conditionalFormatting sqref="B117:I117">
    <cfRule type="colorScale" priority="130">
      <colorScale>
        <cfvo type="min"/>
        <cfvo type="percentile" val="50"/>
        <cfvo type="max"/>
        <color rgb="FFF8696B"/>
        <color rgb="FFFCFCFF"/>
        <color rgb="FF63BE7B"/>
      </colorScale>
    </cfRule>
  </conditionalFormatting>
  <conditionalFormatting sqref="B118:I118">
    <cfRule type="colorScale" priority="129">
      <colorScale>
        <cfvo type="min"/>
        <cfvo type="percentile" val="50"/>
        <cfvo type="max"/>
        <color rgb="FFF8696B"/>
        <color rgb="FFFCFCFF"/>
        <color rgb="FF63BE7B"/>
      </colorScale>
    </cfRule>
  </conditionalFormatting>
  <conditionalFormatting sqref="AD4:AD118">
    <cfRule type="cellIs" dxfId="7" priority="128" operator="notBetween">
      <formula>-0.3</formula>
      <formula>0.3</formula>
    </cfRule>
  </conditionalFormatting>
  <conditionalFormatting sqref="AI4:AI118">
    <cfRule type="cellIs" dxfId="6" priority="122" operator="notBetween">
      <formula>-0.3</formula>
      <formula>0.3</formula>
    </cfRule>
  </conditionalFormatting>
  <conditionalFormatting sqref="AN4:AN118">
    <cfRule type="cellIs" dxfId="5" priority="121" operator="notBetween">
      <formula>-0.3</formula>
      <formula>0.3</formula>
    </cfRule>
  </conditionalFormatting>
  <conditionalFormatting sqref="AS4:AS118">
    <cfRule type="cellIs" dxfId="4" priority="120" operator="notBetween">
      <formula>-0.3</formula>
      <formula>0.3</formula>
    </cfRule>
  </conditionalFormatting>
  <conditionalFormatting sqref="AX4:AX118">
    <cfRule type="cellIs" dxfId="3" priority="119" operator="notBetween">
      <formula>-0.3</formula>
      <formula>0.3</formula>
    </cfRule>
  </conditionalFormatting>
  <conditionalFormatting sqref="BC4:BC118">
    <cfRule type="cellIs" dxfId="2" priority="118" operator="notBetween">
      <formula>-0.3</formula>
      <formula>0.3</formula>
    </cfRule>
  </conditionalFormatting>
  <conditionalFormatting sqref="BH4:BH118">
    <cfRule type="cellIs" dxfId="1" priority="117" operator="notBetween">
      <formula>-0.3</formula>
      <formula>0.3</formula>
    </cfRule>
  </conditionalFormatting>
  <conditionalFormatting sqref="BM4:BM118">
    <cfRule type="cellIs" dxfId="0" priority="116" operator="notBetween">
      <formula>-0.3</formula>
      <formula>0.3</formula>
    </cfRule>
  </conditionalFormatting>
  <conditionalFormatting sqref="M4:T4">
    <cfRule type="colorScale" priority="115">
      <colorScale>
        <cfvo type="min"/>
        <cfvo type="percentile" val="50"/>
        <cfvo type="max"/>
        <color rgb="FFF8696B"/>
        <color rgb="FFFCFCFF"/>
        <color rgb="FF63BE7B"/>
      </colorScale>
    </cfRule>
  </conditionalFormatting>
  <conditionalFormatting sqref="M5:T5">
    <cfRule type="colorScale" priority="114">
      <colorScale>
        <cfvo type="min"/>
        <cfvo type="percentile" val="50"/>
        <cfvo type="max"/>
        <color rgb="FFF8696B"/>
        <color rgb="FFFCFCFF"/>
        <color rgb="FF63BE7B"/>
      </colorScale>
    </cfRule>
  </conditionalFormatting>
  <conditionalFormatting sqref="M6:T6">
    <cfRule type="colorScale" priority="113">
      <colorScale>
        <cfvo type="min"/>
        <cfvo type="percentile" val="50"/>
        <cfvo type="max"/>
        <color rgb="FFF8696B"/>
        <color rgb="FFFCFCFF"/>
        <color rgb="FF63BE7B"/>
      </colorScale>
    </cfRule>
  </conditionalFormatting>
  <conditionalFormatting sqref="M7:T7">
    <cfRule type="colorScale" priority="112">
      <colorScale>
        <cfvo type="min"/>
        <cfvo type="percentile" val="50"/>
        <cfvo type="max"/>
        <color rgb="FFF8696B"/>
        <color rgb="FFFCFCFF"/>
        <color rgb="FF63BE7B"/>
      </colorScale>
    </cfRule>
  </conditionalFormatting>
  <conditionalFormatting sqref="M8:T8">
    <cfRule type="colorScale" priority="111">
      <colorScale>
        <cfvo type="min"/>
        <cfvo type="percentile" val="50"/>
        <cfvo type="max"/>
        <color rgb="FFF8696B"/>
        <color rgb="FFFCFCFF"/>
        <color rgb="FF63BE7B"/>
      </colorScale>
    </cfRule>
  </conditionalFormatting>
  <conditionalFormatting sqref="M9:T9">
    <cfRule type="colorScale" priority="110">
      <colorScale>
        <cfvo type="min"/>
        <cfvo type="percentile" val="50"/>
        <cfvo type="max"/>
        <color rgb="FFF8696B"/>
        <color rgb="FFFCFCFF"/>
        <color rgb="FF63BE7B"/>
      </colorScale>
    </cfRule>
  </conditionalFormatting>
  <conditionalFormatting sqref="M10:T10">
    <cfRule type="colorScale" priority="109">
      <colorScale>
        <cfvo type="min"/>
        <cfvo type="percentile" val="50"/>
        <cfvo type="max"/>
        <color rgb="FFF8696B"/>
        <color rgb="FFFCFCFF"/>
        <color rgb="FF63BE7B"/>
      </colorScale>
    </cfRule>
  </conditionalFormatting>
  <conditionalFormatting sqref="M11:T11">
    <cfRule type="colorScale" priority="108">
      <colorScale>
        <cfvo type="min"/>
        <cfvo type="percentile" val="50"/>
        <cfvo type="max"/>
        <color rgb="FFF8696B"/>
        <color rgb="FFFCFCFF"/>
        <color rgb="FF63BE7B"/>
      </colorScale>
    </cfRule>
  </conditionalFormatting>
  <conditionalFormatting sqref="M12:T12">
    <cfRule type="colorScale" priority="107">
      <colorScale>
        <cfvo type="min"/>
        <cfvo type="percentile" val="50"/>
        <cfvo type="max"/>
        <color rgb="FFF8696B"/>
        <color rgb="FFFCFCFF"/>
        <color rgb="FF63BE7B"/>
      </colorScale>
    </cfRule>
  </conditionalFormatting>
  <conditionalFormatting sqref="M13:T13">
    <cfRule type="colorScale" priority="106">
      <colorScale>
        <cfvo type="min"/>
        <cfvo type="percentile" val="50"/>
        <cfvo type="max"/>
        <color rgb="FFF8696B"/>
        <color rgb="FFFCFCFF"/>
        <color rgb="FF63BE7B"/>
      </colorScale>
    </cfRule>
  </conditionalFormatting>
  <conditionalFormatting sqref="M14:T14">
    <cfRule type="colorScale" priority="105">
      <colorScale>
        <cfvo type="min"/>
        <cfvo type="percentile" val="50"/>
        <cfvo type="max"/>
        <color rgb="FFF8696B"/>
        <color rgb="FFFCFCFF"/>
        <color rgb="FF63BE7B"/>
      </colorScale>
    </cfRule>
  </conditionalFormatting>
  <conditionalFormatting sqref="M15:T15">
    <cfRule type="colorScale" priority="104">
      <colorScale>
        <cfvo type="min"/>
        <cfvo type="percentile" val="50"/>
        <cfvo type="max"/>
        <color rgb="FFF8696B"/>
        <color rgb="FFFCFCFF"/>
        <color rgb="FF63BE7B"/>
      </colorScale>
    </cfRule>
  </conditionalFormatting>
  <conditionalFormatting sqref="M16:T16">
    <cfRule type="colorScale" priority="103">
      <colorScale>
        <cfvo type="min"/>
        <cfvo type="percentile" val="50"/>
        <cfvo type="max"/>
        <color rgb="FFF8696B"/>
        <color rgb="FFFCFCFF"/>
        <color rgb="FF63BE7B"/>
      </colorScale>
    </cfRule>
  </conditionalFormatting>
  <conditionalFormatting sqref="M17:T17">
    <cfRule type="colorScale" priority="102">
      <colorScale>
        <cfvo type="min"/>
        <cfvo type="percentile" val="50"/>
        <cfvo type="max"/>
        <color rgb="FFF8696B"/>
        <color rgb="FFFCFCFF"/>
        <color rgb="FF63BE7B"/>
      </colorScale>
    </cfRule>
  </conditionalFormatting>
  <conditionalFormatting sqref="M18:T18">
    <cfRule type="colorScale" priority="101">
      <colorScale>
        <cfvo type="min"/>
        <cfvo type="percentile" val="50"/>
        <cfvo type="max"/>
        <color rgb="FFF8696B"/>
        <color rgb="FFFCFCFF"/>
        <color rgb="FF63BE7B"/>
      </colorScale>
    </cfRule>
  </conditionalFormatting>
  <conditionalFormatting sqref="M19:T19">
    <cfRule type="colorScale" priority="100">
      <colorScale>
        <cfvo type="min"/>
        <cfvo type="percentile" val="50"/>
        <cfvo type="max"/>
        <color rgb="FFF8696B"/>
        <color rgb="FFFCFCFF"/>
        <color rgb="FF63BE7B"/>
      </colorScale>
    </cfRule>
  </conditionalFormatting>
  <conditionalFormatting sqref="M20:T20">
    <cfRule type="colorScale" priority="99">
      <colorScale>
        <cfvo type="min"/>
        <cfvo type="percentile" val="50"/>
        <cfvo type="max"/>
        <color rgb="FFF8696B"/>
        <color rgb="FFFCFCFF"/>
        <color rgb="FF63BE7B"/>
      </colorScale>
    </cfRule>
  </conditionalFormatting>
  <conditionalFormatting sqref="M21:T21">
    <cfRule type="colorScale" priority="98">
      <colorScale>
        <cfvo type="min"/>
        <cfvo type="percentile" val="50"/>
        <cfvo type="max"/>
        <color rgb="FFF8696B"/>
        <color rgb="FFFCFCFF"/>
        <color rgb="FF63BE7B"/>
      </colorScale>
    </cfRule>
  </conditionalFormatting>
  <conditionalFormatting sqref="M22:T22">
    <cfRule type="colorScale" priority="97">
      <colorScale>
        <cfvo type="min"/>
        <cfvo type="percentile" val="50"/>
        <cfvo type="max"/>
        <color rgb="FFF8696B"/>
        <color rgb="FFFCFCFF"/>
        <color rgb="FF63BE7B"/>
      </colorScale>
    </cfRule>
  </conditionalFormatting>
  <conditionalFormatting sqref="M23:T23">
    <cfRule type="colorScale" priority="96">
      <colorScale>
        <cfvo type="min"/>
        <cfvo type="percentile" val="50"/>
        <cfvo type="max"/>
        <color rgb="FFF8696B"/>
        <color rgb="FFFCFCFF"/>
        <color rgb="FF63BE7B"/>
      </colorScale>
    </cfRule>
  </conditionalFormatting>
  <conditionalFormatting sqref="M24:T24">
    <cfRule type="colorScale" priority="95">
      <colorScale>
        <cfvo type="min"/>
        <cfvo type="percentile" val="50"/>
        <cfvo type="max"/>
        <color rgb="FFF8696B"/>
        <color rgb="FFFCFCFF"/>
        <color rgb="FF63BE7B"/>
      </colorScale>
    </cfRule>
  </conditionalFormatting>
  <conditionalFormatting sqref="M25:T25">
    <cfRule type="colorScale" priority="94">
      <colorScale>
        <cfvo type="min"/>
        <cfvo type="percentile" val="50"/>
        <cfvo type="max"/>
        <color rgb="FFF8696B"/>
        <color rgb="FFFCFCFF"/>
        <color rgb="FF63BE7B"/>
      </colorScale>
    </cfRule>
  </conditionalFormatting>
  <conditionalFormatting sqref="M26:T26">
    <cfRule type="colorScale" priority="93">
      <colorScale>
        <cfvo type="min"/>
        <cfvo type="percentile" val="50"/>
        <cfvo type="max"/>
        <color rgb="FFF8696B"/>
        <color rgb="FFFCFCFF"/>
        <color rgb="FF63BE7B"/>
      </colorScale>
    </cfRule>
  </conditionalFormatting>
  <conditionalFormatting sqref="M27:T27">
    <cfRule type="colorScale" priority="92">
      <colorScale>
        <cfvo type="min"/>
        <cfvo type="percentile" val="50"/>
        <cfvo type="max"/>
        <color rgb="FFF8696B"/>
        <color rgb="FFFCFCFF"/>
        <color rgb="FF63BE7B"/>
      </colorScale>
    </cfRule>
  </conditionalFormatting>
  <conditionalFormatting sqref="M28:T28">
    <cfRule type="colorScale" priority="91">
      <colorScale>
        <cfvo type="min"/>
        <cfvo type="percentile" val="50"/>
        <cfvo type="max"/>
        <color rgb="FFF8696B"/>
        <color rgb="FFFCFCFF"/>
        <color rgb="FF63BE7B"/>
      </colorScale>
    </cfRule>
  </conditionalFormatting>
  <conditionalFormatting sqref="M29:T29">
    <cfRule type="colorScale" priority="90">
      <colorScale>
        <cfvo type="min"/>
        <cfvo type="percentile" val="50"/>
        <cfvo type="max"/>
        <color rgb="FFF8696B"/>
        <color rgb="FFFCFCFF"/>
        <color rgb="FF63BE7B"/>
      </colorScale>
    </cfRule>
  </conditionalFormatting>
  <conditionalFormatting sqref="M30:T30">
    <cfRule type="colorScale" priority="89">
      <colorScale>
        <cfvo type="min"/>
        <cfvo type="percentile" val="50"/>
        <cfvo type="max"/>
        <color rgb="FFF8696B"/>
        <color rgb="FFFCFCFF"/>
        <color rgb="FF63BE7B"/>
      </colorScale>
    </cfRule>
  </conditionalFormatting>
  <conditionalFormatting sqref="M31:T31">
    <cfRule type="colorScale" priority="88">
      <colorScale>
        <cfvo type="min"/>
        <cfvo type="percentile" val="50"/>
        <cfvo type="max"/>
        <color rgb="FFF8696B"/>
        <color rgb="FFFCFCFF"/>
        <color rgb="FF63BE7B"/>
      </colorScale>
    </cfRule>
  </conditionalFormatting>
  <conditionalFormatting sqref="M32:T32">
    <cfRule type="colorScale" priority="87">
      <colorScale>
        <cfvo type="min"/>
        <cfvo type="percentile" val="50"/>
        <cfvo type="max"/>
        <color rgb="FFF8696B"/>
        <color rgb="FFFCFCFF"/>
        <color rgb="FF63BE7B"/>
      </colorScale>
    </cfRule>
  </conditionalFormatting>
  <conditionalFormatting sqref="M33:T33">
    <cfRule type="colorScale" priority="86">
      <colorScale>
        <cfvo type="min"/>
        <cfvo type="percentile" val="50"/>
        <cfvo type="max"/>
        <color rgb="FFF8696B"/>
        <color rgb="FFFCFCFF"/>
        <color rgb="FF63BE7B"/>
      </colorScale>
    </cfRule>
  </conditionalFormatting>
  <conditionalFormatting sqref="M34:T34">
    <cfRule type="colorScale" priority="85">
      <colorScale>
        <cfvo type="min"/>
        <cfvo type="percentile" val="50"/>
        <cfvo type="max"/>
        <color rgb="FFF8696B"/>
        <color rgb="FFFCFCFF"/>
        <color rgb="FF63BE7B"/>
      </colorScale>
    </cfRule>
  </conditionalFormatting>
  <conditionalFormatting sqref="M35:T35">
    <cfRule type="colorScale" priority="84">
      <colorScale>
        <cfvo type="min"/>
        <cfvo type="percentile" val="50"/>
        <cfvo type="max"/>
        <color rgb="FFF8696B"/>
        <color rgb="FFFCFCFF"/>
        <color rgb="FF63BE7B"/>
      </colorScale>
    </cfRule>
  </conditionalFormatting>
  <conditionalFormatting sqref="M36:T36">
    <cfRule type="colorScale" priority="83">
      <colorScale>
        <cfvo type="min"/>
        <cfvo type="percentile" val="50"/>
        <cfvo type="max"/>
        <color rgb="FFF8696B"/>
        <color rgb="FFFCFCFF"/>
        <color rgb="FF63BE7B"/>
      </colorScale>
    </cfRule>
  </conditionalFormatting>
  <conditionalFormatting sqref="M37:T37">
    <cfRule type="colorScale" priority="82">
      <colorScale>
        <cfvo type="min"/>
        <cfvo type="percentile" val="50"/>
        <cfvo type="max"/>
        <color rgb="FFF8696B"/>
        <color rgb="FFFCFCFF"/>
        <color rgb="FF63BE7B"/>
      </colorScale>
    </cfRule>
  </conditionalFormatting>
  <conditionalFormatting sqref="M38:T38">
    <cfRule type="colorScale" priority="81">
      <colorScale>
        <cfvo type="min"/>
        <cfvo type="percentile" val="50"/>
        <cfvo type="max"/>
        <color rgb="FFF8696B"/>
        <color rgb="FFFCFCFF"/>
        <color rgb="FF63BE7B"/>
      </colorScale>
    </cfRule>
  </conditionalFormatting>
  <conditionalFormatting sqref="M39:T39">
    <cfRule type="colorScale" priority="80">
      <colorScale>
        <cfvo type="min"/>
        <cfvo type="percentile" val="50"/>
        <cfvo type="max"/>
        <color rgb="FFF8696B"/>
        <color rgb="FFFCFCFF"/>
        <color rgb="FF63BE7B"/>
      </colorScale>
    </cfRule>
  </conditionalFormatting>
  <conditionalFormatting sqref="M40:T40">
    <cfRule type="colorScale" priority="79">
      <colorScale>
        <cfvo type="min"/>
        <cfvo type="percentile" val="50"/>
        <cfvo type="max"/>
        <color rgb="FFF8696B"/>
        <color rgb="FFFCFCFF"/>
        <color rgb="FF63BE7B"/>
      </colorScale>
    </cfRule>
  </conditionalFormatting>
  <conditionalFormatting sqref="M41:T41">
    <cfRule type="colorScale" priority="78">
      <colorScale>
        <cfvo type="min"/>
        <cfvo type="percentile" val="50"/>
        <cfvo type="max"/>
        <color rgb="FFF8696B"/>
        <color rgb="FFFCFCFF"/>
        <color rgb="FF63BE7B"/>
      </colorScale>
    </cfRule>
  </conditionalFormatting>
  <conditionalFormatting sqref="M42:T42">
    <cfRule type="colorScale" priority="77">
      <colorScale>
        <cfvo type="min"/>
        <cfvo type="percentile" val="50"/>
        <cfvo type="max"/>
        <color rgb="FFF8696B"/>
        <color rgb="FFFCFCFF"/>
        <color rgb="FF63BE7B"/>
      </colorScale>
    </cfRule>
  </conditionalFormatting>
  <conditionalFormatting sqref="M43:T43">
    <cfRule type="colorScale" priority="76">
      <colorScale>
        <cfvo type="min"/>
        <cfvo type="percentile" val="50"/>
        <cfvo type="max"/>
        <color rgb="FFF8696B"/>
        <color rgb="FFFCFCFF"/>
        <color rgb="FF63BE7B"/>
      </colorScale>
    </cfRule>
  </conditionalFormatting>
  <conditionalFormatting sqref="M44:T44">
    <cfRule type="colorScale" priority="75">
      <colorScale>
        <cfvo type="min"/>
        <cfvo type="percentile" val="50"/>
        <cfvo type="max"/>
        <color rgb="FFF8696B"/>
        <color rgb="FFFCFCFF"/>
        <color rgb="FF63BE7B"/>
      </colorScale>
    </cfRule>
  </conditionalFormatting>
  <conditionalFormatting sqref="M45:T45">
    <cfRule type="colorScale" priority="74">
      <colorScale>
        <cfvo type="min"/>
        <cfvo type="percentile" val="50"/>
        <cfvo type="max"/>
        <color rgb="FFF8696B"/>
        <color rgb="FFFCFCFF"/>
        <color rgb="FF63BE7B"/>
      </colorScale>
    </cfRule>
  </conditionalFormatting>
  <conditionalFormatting sqref="M46:T46">
    <cfRule type="colorScale" priority="73">
      <colorScale>
        <cfvo type="min"/>
        <cfvo type="percentile" val="50"/>
        <cfvo type="max"/>
        <color rgb="FFF8696B"/>
        <color rgb="FFFCFCFF"/>
        <color rgb="FF63BE7B"/>
      </colorScale>
    </cfRule>
  </conditionalFormatting>
  <conditionalFormatting sqref="M47:T47">
    <cfRule type="colorScale" priority="72">
      <colorScale>
        <cfvo type="min"/>
        <cfvo type="percentile" val="50"/>
        <cfvo type="max"/>
        <color rgb="FFF8696B"/>
        <color rgb="FFFCFCFF"/>
        <color rgb="FF63BE7B"/>
      </colorScale>
    </cfRule>
  </conditionalFormatting>
  <conditionalFormatting sqref="M48:T48">
    <cfRule type="colorScale" priority="71">
      <colorScale>
        <cfvo type="min"/>
        <cfvo type="percentile" val="50"/>
        <cfvo type="max"/>
        <color rgb="FFF8696B"/>
        <color rgb="FFFCFCFF"/>
        <color rgb="FF63BE7B"/>
      </colorScale>
    </cfRule>
  </conditionalFormatting>
  <conditionalFormatting sqref="M49:T49">
    <cfRule type="colorScale" priority="70">
      <colorScale>
        <cfvo type="min"/>
        <cfvo type="percentile" val="50"/>
        <cfvo type="max"/>
        <color rgb="FFF8696B"/>
        <color rgb="FFFCFCFF"/>
        <color rgb="FF63BE7B"/>
      </colorScale>
    </cfRule>
  </conditionalFormatting>
  <conditionalFormatting sqref="M50:T50">
    <cfRule type="colorScale" priority="69">
      <colorScale>
        <cfvo type="min"/>
        <cfvo type="percentile" val="50"/>
        <cfvo type="max"/>
        <color rgb="FFF8696B"/>
        <color rgb="FFFCFCFF"/>
        <color rgb="FF63BE7B"/>
      </colorScale>
    </cfRule>
  </conditionalFormatting>
  <conditionalFormatting sqref="M51:T51">
    <cfRule type="colorScale" priority="68">
      <colorScale>
        <cfvo type="min"/>
        <cfvo type="percentile" val="50"/>
        <cfvo type="max"/>
        <color rgb="FFF8696B"/>
        <color rgb="FFFCFCFF"/>
        <color rgb="FF63BE7B"/>
      </colorScale>
    </cfRule>
  </conditionalFormatting>
  <conditionalFormatting sqref="M52:T52">
    <cfRule type="colorScale" priority="67">
      <colorScale>
        <cfvo type="min"/>
        <cfvo type="percentile" val="50"/>
        <cfvo type="max"/>
        <color rgb="FFF8696B"/>
        <color rgb="FFFCFCFF"/>
        <color rgb="FF63BE7B"/>
      </colorScale>
    </cfRule>
  </conditionalFormatting>
  <conditionalFormatting sqref="M53:T53">
    <cfRule type="colorScale" priority="66">
      <colorScale>
        <cfvo type="min"/>
        <cfvo type="percentile" val="50"/>
        <cfvo type="max"/>
        <color rgb="FFF8696B"/>
        <color rgb="FFFCFCFF"/>
        <color rgb="FF63BE7B"/>
      </colorScale>
    </cfRule>
  </conditionalFormatting>
  <conditionalFormatting sqref="M54:T54">
    <cfRule type="colorScale" priority="65">
      <colorScale>
        <cfvo type="min"/>
        <cfvo type="percentile" val="50"/>
        <cfvo type="max"/>
        <color rgb="FFF8696B"/>
        <color rgb="FFFCFCFF"/>
        <color rgb="FF63BE7B"/>
      </colorScale>
    </cfRule>
  </conditionalFormatting>
  <conditionalFormatting sqref="M55:T55">
    <cfRule type="colorScale" priority="64">
      <colorScale>
        <cfvo type="min"/>
        <cfvo type="percentile" val="50"/>
        <cfvo type="max"/>
        <color rgb="FFF8696B"/>
        <color rgb="FFFCFCFF"/>
        <color rgb="FF63BE7B"/>
      </colorScale>
    </cfRule>
  </conditionalFormatting>
  <conditionalFormatting sqref="M56:T56">
    <cfRule type="colorScale" priority="63">
      <colorScale>
        <cfvo type="min"/>
        <cfvo type="percentile" val="50"/>
        <cfvo type="max"/>
        <color rgb="FFF8696B"/>
        <color rgb="FFFCFCFF"/>
        <color rgb="FF63BE7B"/>
      </colorScale>
    </cfRule>
  </conditionalFormatting>
  <conditionalFormatting sqref="M57:T57">
    <cfRule type="colorScale" priority="62">
      <colorScale>
        <cfvo type="min"/>
        <cfvo type="percentile" val="50"/>
        <cfvo type="max"/>
        <color rgb="FFF8696B"/>
        <color rgb="FFFCFCFF"/>
        <color rgb="FF63BE7B"/>
      </colorScale>
    </cfRule>
  </conditionalFormatting>
  <conditionalFormatting sqref="M58:T58">
    <cfRule type="colorScale" priority="61">
      <colorScale>
        <cfvo type="min"/>
        <cfvo type="percentile" val="50"/>
        <cfvo type="max"/>
        <color rgb="FFF8696B"/>
        <color rgb="FFFCFCFF"/>
        <color rgb="FF63BE7B"/>
      </colorScale>
    </cfRule>
  </conditionalFormatting>
  <conditionalFormatting sqref="M59:T59">
    <cfRule type="colorScale" priority="60">
      <colorScale>
        <cfvo type="min"/>
        <cfvo type="percentile" val="50"/>
        <cfvo type="max"/>
        <color rgb="FFF8696B"/>
        <color rgb="FFFCFCFF"/>
        <color rgb="FF63BE7B"/>
      </colorScale>
    </cfRule>
  </conditionalFormatting>
  <conditionalFormatting sqref="M60:T60">
    <cfRule type="colorScale" priority="59">
      <colorScale>
        <cfvo type="min"/>
        <cfvo type="percentile" val="50"/>
        <cfvo type="max"/>
        <color rgb="FFF8696B"/>
        <color rgb="FFFCFCFF"/>
        <color rgb="FF63BE7B"/>
      </colorScale>
    </cfRule>
  </conditionalFormatting>
  <conditionalFormatting sqref="M61:T61">
    <cfRule type="colorScale" priority="58">
      <colorScale>
        <cfvo type="min"/>
        <cfvo type="percentile" val="50"/>
        <cfvo type="max"/>
        <color rgb="FFF8696B"/>
        <color rgb="FFFCFCFF"/>
        <color rgb="FF63BE7B"/>
      </colorScale>
    </cfRule>
  </conditionalFormatting>
  <conditionalFormatting sqref="M62:T62">
    <cfRule type="colorScale" priority="57">
      <colorScale>
        <cfvo type="min"/>
        <cfvo type="percentile" val="50"/>
        <cfvo type="max"/>
        <color rgb="FFF8696B"/>
        <color rgb="FFFCFCFF"/>
        <color rgb="FF63BE7B"/>
      </colorScale>
    </cfRule>
  </conditionalFormatting>
  <conditionalFormatting sqref="M63:T63">
    <cfRule type="colorScale" priority="56">
      <colorScale>
        <cfvo type="min"/>
        <cfvo type="percentile" val="50"/>
        <cfvo type="max"/>
        <color rgb="FFF8696B"/>
        <color rgb="FFFCFCFF"/>
        <color rgb="FF63BE7B"/>
      </colorScale>
    </cfRule>
  </conditionalFormatting>
  <conditionalFormatting sqref="M64:T64">
    <cfRule type="colorScale" priority="55">
      <colorScale>
        <cfvo type="min"/>
        <cfvo type="percentile" val="50"/>
        <cfvo type="max"/>
        <color rgb="FFF8696B"/>
        <color rgb="FFFCFCFF"/>
        <color rgb="FF63BE7B"/>
      </colorScale>
    </cfRule>
  </conditionalFormatting>
  <conditionalFormatting sqref="M65:T65">
    <cfRule type="colorScale" priority="54">
      <colorScale>
        <cfvo type="min"/>
        <cfvo type="percentile" val="50"/>
        <cfvo type="max"/>
        <color rgb="FFF8696B"/>
        <color rgb="FFFCFCFF"/>
        <color rgb="FF63BE7B"/>
      </colorScale>
    </cfRule>
  </conditionalFormatting>
  <conditionalFormatting sqref="M66:T66">
    <cfRule type="colorScale" priority="53">
      <colorScale>
        <cfvo type="min"/>
        <cfvo type="percentile" val="50"/>
        <cfvo type="max"/>
        <color rgb="FFF8696B"/>
        <color rgb="FFFCFCFF"/>
        <color rgb="FF63BE7B"/>
      </colorScale>
    </cfRule>
  </conditionalFormatting>
  <conditionalFormatting sqref="M67:T67">
    <cfRule type="colorScale" priority="52">
      <colorScale>
        <cfvo type="min"/>
        <cfvo type="percentile" val="50"/>
        <cfvo type="max"/>
        <color rgb="FFF8696B"/>
        <color rgb="FFFCFCFF"/>
        <color rgb="FF63BE7B"/>
      </colorScale>
    </cfRule>
  </conditionalFormatting>
  <conditionalFormatting sqref="M68:T68">
    <cfRule type="colorScale" priority="51">
      <colorScale>
        <cfvo type="min"/>
        <cfvo type="percentile" val="50"/>
        <cfvo type="max"/>
        <color rgb="FFF8696B"/>
        <color rgb="FFFCFCFF"/>
        <color rgb="FF63BE7B"/>
      </colorScale>
    </cfRule>
  </conditionalFormatting>
  <conditionalFormatting sqref="M69:T69">
    <cfRule type="colorScale" priority="50">
      <colorScale>
        <cfvo type="min"/>
        <cfvo type="percentile" val="50"/>
        <cfvo type="max"/>
        <color rgb="FFF8696B"/>
        <color rgb="FFFCFCFF"/>
        <color rgb="FF63BE7B"/>
      </colorScale>
    </cfRule>
  </conditionalFormatting>
  <conditionalFormatting sqref="M70:T70">
    <cfRule type="colorScale" priority="49">
      <colorScale>
        <cfvo type="min"/>
        <cfvo type="percentile" val="50"/>
        <cfvo type="max"/>
        <color rgb="FFF8696B"/>
        <color rgb="FFFCFCFF"/>
        <color rgb="FF63BE7B"/>
      </colorScale>
    </cfRule>
  </conditionalFormatting>
  <conditionalFormatting sqref="M71:T71">
    <cfRule type="colorScale" priority="48">
      <colorScale>
        <cfvo type="min"/>
        <cfvo type="percentile" val="50"/>
        <cfvo type="max"/>
        <color rgb="FFF8696B"/>
        <color rgb="FFFCFCFF"/>
        <color rgb="FF63BE7B"/>
      </colorScale>
    </cfRule>
  </conditionalFormatting>
  <conditionalFormatting sqref="M72:T72">
    <cfRule type="colorScale" priority="47">
      <colorScale>
        <cfvo type="min"/>
        <cfvo type="percentile" val="50"/>
        <cfvo type="max"/>
        <color rgb="FFF8696B"/>
        <color rgb="FFFCFCFF"/>
        <color rgb="FF63BE7B"/>
      </colorScale>
    </cfRule>
  </conditionalFormatting>
  <conditionalFormatting sqref="M73:T73">
    <cfRule type="colorScale" priority="46">
      <colorScale>
        <cfvo type="min"/>
        <cfvo type="percentile" val="50"/>
        <cfvo type="max"/>
        <color rgb="FFF8696B"/>
        <color rgb="FFFCFCFF"/>
        <color rgb="FF63BE7B"/>
      </colorScale>
    </cfRule>
  </conditionalFormatting>
  <conditionalFormatting sqref="M74:T74">
    <cfRule type="colorScale" priority="45">
      <colorScale>
        <cfvo type="min"/>
        <cfvo type="percentile" val="50"/>
        <cfvo type="max"/>
        <color rgb="FFF8696B"/>
        <color rgb="FFFCFCFF"/>
        <color rgb="FF63BE7B"/>
      </colorScale>
    </cfRule>
  </conditionalFormatting>
  <conditionalFormatting sqref="M75:T75">
    <cfRule type="colorScale" priority="44">
      <colorScale>
        <cfvo type="min"/>
        <cfvo type="percentile" val="50"/>
        <cfvo type="max"/>
        <color rgb="FFF8696B"/>
        <color rgb="FFFCFCFF"/>
        <color rgb="FF63BE7B"/>
      </colorScale>
    </cfRule>
  </conditionalFormatting>
  <conditionalFormatting sqref="M76:T76">
    <cfRule type="colorScale" priority="43">
      <colorScale>
        <cfvo type="min"/>
        <cfvo type="percentile" val="50"/>
        <cfvo type="max"/>
        <color rgb="FFF8696B"/>
        <color rgb="FFFCFCFF"/>
        <color rgb="FF63BE7B"/>
      </colorScale>
    </cfRule>
  </conditionalFormatting>
  <conditionalFormatting sqref="M77:T77">
    <cfRule type="colorScale" priority="42">
      <colorScale>
        <cfvo type="min"/>
        <cfvo type="percentile" val="50"/>
        <cfvo type="max"/>
        <color rgb="FFF8696B"/>
        <color rgb="FFFCFCFF"/>
        <color rgb="FF63BE7B"/>
      </colorScale>
    </cfRule>
  </conditionalFormatting>
  <conditionalFormatting sqref="M78:T78">
    <cfRule type="colorScale" priority="41">
      <colorScale>
        <cfvo type="min"/>
        <cfvo type="percentile" val="50"/>
        <cfvo type="max"/>
        <color rgb="FFF8696B"/>
        <color rgb="FFFCFCFF"/>
        <color rgb="FF63BE7B"/>
      </colorScale>
    </cfRule>
  </conditionalFormatting>
  <conditionalFormatting sqref="M79:T79">
    <cfRule type="colorScale" priority="40">
      <colorScale>
        <cfvo type="min"/>
        <cfvo type="percentile" val="50"/>
        <cfvo type="max"/>
        <color rgb="FFF8696B"/>
        <color rgb="FFFCFCFF"/>
        <color rgb="FF63BE7B"/>
      </colorScale>
    </cfRule>
  </conditionalFormatting>
  <conditionalFormatting sqref="M80:T80">
    <cfRule type="colorScale" priority="39">
      <colorScale>
        <cfvo type="min"/>
        <cfvo type="percentile" val="50"/>
        <cfvo type="max"/>
        <color rgb="FFF8696B"/>
        <color rgb="FFFCFCFF"/>
        <color rgb="FF63BE7B"/>
      </colorScale>
    </cfRule>
  </conditionalFormatting>
  <conditionalFormatting sqref="M81:T81">
    <cfRule type="colorScale" priority="38">
      <colorScale>
        <cfvo type="min"/>
        <cfvo type="percentile" val="50"/>
        <cfvo type="max"/>
        <color rgb="FFF8696B"/>
        <color rgb="FFFCFCFF"/>
        <color rgb="FF63BE7B"/>
      </colorScale>
    </cfRule>
  </conditionalFormatting>
  <conditionalFormatting sqref="M82:T82">
    <cfRule type="colorScale" priority="37">
      <colorScale>
        <cfvo type="min"/>
        <cfvo type="percentile" val="50"/>
        <cfvo type="max"/>
        <color rgb="FFF8696B"/>
        <color rgb="FFFCFCFF"/>
        <color rgb="FF63BE7B"/>
      </colorScale>
    </cfRule>
  </conditionalFormatting>
  <conditionalFormatting sqref="M83:T83">
    <cfRule type="colorScale" priority="36">
      <colorScale>
        <cfvo type="min"/>
        <cfvo type="percentile" val="50"/>
        <cfvo type="max"/>
        <color rgb="FFF8696B"/>
        <color rgb="FFFCFCFF"/>
        <color rgb="FF63BE7B"/>
      </colorScale>
    </cfRule>
  </conditionalFormatting>
  <conditionalFormatting sqref="M84:T84">
    <cfRule type="colorScale" priority="35">
      <colorScale>
        <cfvo type="min"/>
        <cfvo type="percentile" val="50"/>
        <cfvo type="max"/>
        <color rgb="FFF8696B"/>
        <color rgb="FFFCFCFF"/>
        <color rgb="FF63BE7B"/>
      </colorScale>
    </cfRule>
  </conditionalFormatting>
  <conditionalFormatting sqref="M85:T85">
    <cfRule type="colorScale" priority="34">
      <colorScale>
        <cfvo type="min"/>
        <cfvo type="percentile" val="50"/>
        <cfvo type="max"/>
        <color rgb="FFF8696B"/>
        <color rgb="FFFCFCFF"/>
        <color rgb="FF63BE7B"/>
      </colorScale>
    </cfRule>
  </conditionalFormatting>
  <conditionalFormatting sqref="M86:T86">
    <cfRule type="colorScale" priority="33">
      <colorScale>
        <cfvo type="min"/>
        <cfvo type="percentile" val="50"/>
        <cfvo type="max"/>
        <color rgb="FFF8696B"/>
        <color rgb="FFFCFCFF"/>
        <color rgb="FF63BE7B"/>
      </colorScale>
    </cfRule>
  </conditionalFormatting>
  <conditionalFormatting sqref="M87:T87">
    <cfRule type="colorScale" priority="32">
      <colorScale>
        <cfvo type="min"/>
        <cfvo type="percentile" val="50"/>
        <cfvo type="max"/>
        <color rgb="FFF8696B"/>
        <color rgb="FFFCFCFF"/>
        <color rgb="FF63BE7B"/>
      </colorScale>
    </cfRule>
  </conditionalFormatting>
  <conditionalFormatting sqref="M88:T88">
    <cfRule type="colorScale" priority="31">
      <colorScale>
        <cfvo type="min"/>
        <cfvo type="percentile" val="50"/>
        <cfvo type="max"/>
        <color rgb="FFF8696B"/>
        <color rgb="FFFCFCFF"/>
        <color rgb="FF63BE7B"/>
      </colorScale>
    </cfRule>
  </conditionalFormatting>
  <conditionalFormatting sqref="M89:T89">
    <cfRule type="colorScale" priority="30">
      <colorScale>
        <cfvo type="min"/>
        <cfvo type="percentile" val="50"/>
        <cfvo type="max"/>
        <color rgb="FFF8696B"/>
        <color rgb="FFFCFCFF"/>
        <color rgb="FF63BE7B"/>
      </colorScale>
    </cfRule>
  </conditionalFormatting>
  <conditionalFormatting sqref="M90:T90">
    <cfRule type="colorScale" priority="29">
      <colorScale>
        <cfvo type="min"/>
        <cfvo type="percentile" val="50"/>
        <cfvo type="max"/>
        <color rgb="FFF8696B"/>
        <color rgb="FFFCFCFF"/>
        <color rgb="FF63BE7B"/>
      </colorScale>
    </cfRule>
  </conditionalFormatting>
  <conditionalFormatting sqref="M91:T91">
    <cfRule type="colorScale" priority="28">
      <colorScale>
        <cfvo type="min"/>
        <cfvo type="percentile" val="50"/>
        <cfvo type="max"/>
        <color rgb="FFF8696B"/>
        <color rgb="FFFCFCFF"/>
        <color rgb="FF63BE7B"/>
      </colorScale>
    </cfRule>
  </conditionalFormatting>
  <conditionalFormatting sqref="M92:T92">
    <cfRule type="colorScale" priority="27">
      <colorScale>
        <cfvo type="min"/>
        <cfvo type="percentile" val="50"/>
        <cfvo type="max"/>
        <color rgb="FFF8696B"/>
        <color rgb="FFFCFCFF"/>
        <color rgb="FF63BE7B"/>
      </colorScale>
    </cfRule>
  </conditionalFormatting>
  <conditionalFormatting sqref="M93:T93">
    <cfRule type="colorScale" priority="26">
      <colorScale>
        <cfvo type="min"/>
        <cfvo type="percentile" val="50"/>
        <cfvo type="max"/>
        <color rgb="FFF8696B"/>
        <color rgb="FFFCFCFF"/>
        <color rgb="FF63BE7B"/>
      </colorScale>
    </cfRule>
  </conditionalFormatting>
  <conditionalFormatting sqref="M94:T94">
    <cfRule type="colorScale" priority="25">
      <colorScale>
        <cfvo type="min"/>
        <cfvo type="percentile" val="50"/>
        <cfvo type="max"/>
        <color rgb="FFF8696B"/>
        <color rgb="FFFCFCFF"/>
        <color rgb="FF63BE7B"/>
      </colorScale>
    </cfRule>
  </conditionalFormatting>
  <conditionalFormatting sqref="M95:T95">
    <cfRule type="colorScale" priority="24">
      <colorScale>
        <cfvo type="min"/>
        <cfvo type="percentile" val="50"/>
        <cfvo type="max"/>
        <color rgb="FFF8696B"/>
        <color rgb="FFFCFCFF"/>
        <color rgb="FF63BE7B"/>
      </colorScale>
    </cfRule>
  </conditionalFormatting>
  <conditionalFormatting sqref="M96:T96">
    <cfRule type="colorScale" priority="23">
      <colorScale>
        <cfvo type="min"/>
        <cfvo type="percentile" val="50"/>
        <cfvo type="max"/>
        <color rgb="FFF8696B"/>
        <color rgb="FFFCFCFF"/>
        <color rgb="FF63BE7B"/>
      </colorScale>
    </cfRule>
  </conditionalFormatting>
  <conditionalFormatting sqref="M97:T97">
    <cfRule type="colorScale" priority="22">
      <colorScale>
        <cfvo type="min"/>
        <cfvo type="percentile" val="50"/>
        <cfvo type="max"/>
        <color rgb="FFF8696B"/>
        <color rgb="FFFCFCFF"/>
        <color rgb="FF63BE7B"/>
      </colorScale>
    </cfRule>
  </conditionalFormatting>
  <conditionalFormatting sqref="M98:T98">
    <cfRule type="colorScale" priority="21">
      <colorScale>
        <cfvo type="min"/>
        <cfvo type="percentile" val="50"/>
        <cfvo type="max"/>
        <color rgb="FFF8696B"/>
        <color rgb="FFFCFCFF"/>
        <color rgb="FF63BE7B"/>
      </colorScale>
    </cfRule>
  </conditionalFormatting>
  <conditionalFormatting sqref="M99:T99">
    <cfRule type="colorScale" priority="20">
      <colorScale>
        <cfvo type="min"/>
        <cfvo type="percentile" val="50"/>
        <cfvo type="max"/>
        <color rgb="FFF8696B"/>
        <color rgb="FFFCFCFF"/>
        <color rgb="FF63BE7B"/>
      </colorScale>
    </cfRule>
  </conditionalFormatting>
  <conditionalFormatting sqref="M100:T100">
    <cfRule type="colorScale" priority="19">
      <colorScale>
        <cfvo type="min"/>
        <cfvo type="percentile" val="50"/>
        <cfvo type="max"/>
        <color rgb="FFF8696B"/>
        <color rgb="FFFCFCFF"/>
        <color rgb="FF63BE7B"/>
      </colorScale>
    </cfRule>
  </conditionalFormatting>
  <conditionalFormatting sqref="M101:T101">
    <cfRule type="colorScale" priority="18">
      <colorScale>
        <cfvo type="min"/>
        <cfvo type="percentile" val="50"/>
        <cfvo type="max"/>
        <color rgb="FFF8696B"/>
        <color rgb="FFFCFCFF"/>
        <color rgb="FF63BE7B"/>
      </colorScale>
    </cfRule>
  </conditionalFormatting>
  <conditionalFormatting sqref="M102:T102">
    <cfRule type="colorScale" priority="17">
      <colorScale>
        <cfvo type="min"/>
        <cfvo type="percentile" val="50"/>
        <cfvo type="max"/>
        <color rgb="FFF8696B"/>
        <color rgb="FFFCFCFF"/>
        <color rgb="FF63BE7B"/>
      </colorScale>
    </cfRule>
  </conditionalFormatting>
  <conditionalFormatting sqref="M103:T103">
    <cfRule type="colorScale" priority="16">
      <colorScale>
        <cfvo type="min"/>
        <cfvo type="percentile" val="50"/>
        <cfvo type="max"/>
        <color rgb="FFF8696B"/>
        <color rgb="FFFCFCFF"/>
        <color rgb="FF63BE7B"/>
      </colorScale>
    </cfRule>
  </conditionalFormatting>
  <conditionalFormatting sqref="M104:T104">
    <cfRule type="colorScale" priority="15">
      <colorScale>
        <cfvo type="min"/>
        <cfvo type="percentile" val="50"/>
        <cfvo type="max"/>
        <color rgb="FFF8696B"/>
        <color rgb="FFFCFCFF"/>
        <color rgb="FF63BE7B"/>
      </colorScale>
    </cfRule>
  </conditionalFormatting>
  <conditionalFormatting sqref="M105:T105">
    <cfRule type="colorScale" priority="14">
      <colorScale>
        <cfvo type="min"/>
        <cfvo type="percentile" val="50"/>
        <cfvo type="max"/>
        <color rgb="FFF8696B"/>
        <color rgb="FFFCFCFF"/>
        <color rgb="FF63BE7B"/>
      </colorScale>
    </cfRule>
  </conditionalFormatting>
  <conditionalFormatting sqref="M106:T106">
    <cfRule type="colorScale" priority="13">
      <colorScale>
        <cfvo type="min"/>
        <cfvo type="percentile" val="50"/>
        <cfvo type="max"/>
        <color rgb="FFF8696B"/>
        <color rgb="FFFCFCFF"/>
        <color rgb="FF63BE7B"/>
      </colorScale>
    </cfRule>
  </conditionalFormatting>
  <conditionalFormatting sqref="M107:T107">
    <cfRule type="colorScale" priority="12">
      <colorScale>
        <cfvo type="min"/>
        <cfvo type="percentile" val="50"/>
        <cfvo type="max"/>
        <color rgb="FFF8696B"/>
        <color rgb="FFFCFCFF"/>
        <color rgb="FF63BE7B"/>
      </colorScale>
    </cfRule>
  </conditionalFormatting>
  <conditionalFormatting sqref="M108:T108">
    <cfRule type="colorScale" priority="11">
      <colorScale>
        <cfvo type="min"/>
        <cfvo type="percentile" val="50"/>
        <cfvo type="max"/>
        <color rgb="FFF8696B"/>
        <color rgb="FFFCFCFF"/>
        <color rgb="FF63BE7B"/>
      </colorScale>
    </cfRule>
  </conditionalFormatting>
  <conditionalFormatting sqref="M109:T109">
    <cfRule type="colorScale" priority="10">
      <colorScale>
        <cfvo type="min"/>
        <cfvo type="percentile" val="50"/>
        <cfvo type="max"/>
        <color rgb="FFF8696B"/>
        <color rgb="FFFCFCFF"/>
        <color rgb="FF63BE7B"/>
      </colorScale>
    </cfRule>
  </conditionalFormatting>
  <conditionalFormatting sqref="M110:T110">
    <cfRule type="colorScale" priority="9">
      <colorScale>
        <cfvo type="min"/>
        <cfvo type="percentile" val="50"/>
        <cfvo type="max"/>
        <color rgb="FFF8696B"/>
        <color rgb="FFFCFCFF"/>
        <color rgb="FF63BE7B"/>
      </colorScale>
    </cfRule>
  </conditionalFormatting>
  <conditionalFormatting sqref="M111:T111">
    <cfRule type="colorScale" priority="8">
      <colorScale>
        <cfvo type="min"/>
        <cfvo type="percentile" val="50"/>
        <cfvo type="max"/>
        <color rgb="FFF8696B"/>
        <color rgb="FFFCFCFF"/>
        <color rgb="FF63BE7B"/>
      </colorScale>
    </cfRule>
  </conditionalFormatting>
  <conditionalFormatting sqref="M112:T112">
    <cfRule type="colorScale" priority="7">
      <colorScale>
        <cfvo type="min"/>
        <cfvo type="percentile" val="50"/>
        <cfvo type="max"/>
        <color rgb="FFF8696B"/>
        <color rgb="FFFCFCFF"/>
        <color rgb="FF63BE7B"/>
      </colorScale>
    </cfRule>
  </conditionalFormatting>
  <conditionalFormatting sqref="M113:T113">
    <cfRule type="colorScale" priority="6">
      <colorScale>
        <cfvo type="min"/>
        <cfvo type="percentile" val="50"/>
        <cfvo type="max"/>
        <color rgb="FFF8696B"/>
        <color rgb="FFFCFCFF"/>
        <color rgb="FF63BE7B"/>
      </colorScale>
    </cfRule>
  </conditionalFormatting>
  <conditionalFormatting sqref="M114:T114">
    <cfRule type="colorScale" priority="5">
      <colorScale>
        <cfvo type="min"/>
        <cfvo type="percentile" val="50"/>
        <cfvo type="max"/>
        <color rgb="FFF8696B"/>
        <color rgb="FFFCFCFF"/>
        <color rgb="FF63BE7B"/>
      </colorScale>
    </cfRule>
  </conditionalFormatting>
  <conditionalFormatting sqref="M115:T115">
    <cfRule type="colorScale" priority="4">
      <colorScale>
        <cfvo type="min"/>
        <cfvo type="percentile" val="50"/>
        <cfvo type="max"/>
        <color rgb="FFF8696B"/>
        <color rgb="FFFCFCFF"/>
        <color rgb="FF63BE7B"/>
      </colorScale>
    </cfRule>
  </conditionalFormatting>
  <conditionalFormatting sqref="M116:T116">
    <cfRule type="colorScale" priority="3">
      <colorScale>
        <cfvo type="min"/>
        <cfvo type="percentile" val="50"/>
        <cfvo type="max"/>
        <color rgb="FFF8696B"/>
        <color rgb="FFFCFCFF"/>
        <color rgb="FF63BE7B"/>
      </colorScale>
    </cfRule>
  </conditionalFormatting>
  <conditionalFormatting sqref="M117:T117">
    <cfRule type="colorScale" priority="2">
      <colorScale>
        <cfvo type="min"/>
        <cfvo type="percentile" val="50"/>
        <cfvo type="max"/>
        <color rgb="FFF8696B"/>
        <color rgb="FFFCFCFF"/>
        <color rgb="FF63BE7B"/>
      </colorScale>
    </cfRule>
  </conditionalFormatting>
  <conditionalFormatting sqref="M118:T118">
    <cfRule type="colorScale" priority="1">
      <colorScale>
        <cfvo type="min"/>
        <cfvo type="percentile" val="50"/>
        <cfvo type="max"/>
        <color rgb="FFF8696B"/>
        <color rgb="FFFCFCFF"/>
        <color rgb="FF63BE7B"/>
      </colorScale>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kproto_6</vt:lpstr>
      <vt:lpstr>kproto_8</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Jon Godin</cp:lastModifiedBy>
  <dcterms:created xsi:type="dcterms:W3CDTF">2020-06-01T05:48:14Z</dcterms:created>
  <dcterms:modified xsi:type="dcterms:W3CDTF">2020-06-02T04:54:35Z</dcterms:modified>
</cp:coreProperties>
</file>